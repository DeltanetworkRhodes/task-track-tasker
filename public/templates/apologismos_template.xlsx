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Αυτό_το_βιβλίο_εργασίας"/>
  <mc:AlternateContent xmlns:mc="http://schemas.openxmlformats.org/markup-compatibility/2006">
    <mc:Choice Requires="x15">
      <x15ac:absPath xmlns:x15ac="http://schemas.microsoft.com/office/spreadsheetml/2010/11/ac" url="C:\Users\User\Desktop\"/>
    </mc:Choice>
  </mc:AlternateContent>
  <xr:revisionPtr revIDLastSave="0" documentId="8_{EFAA73C2-2B07-4552-94CC-B7497F9481CA}" xr6:coauthVersionLast="47" xr6:coauthVersionMax="47" xr10:uidLastSave="{00000000-0000-0000-0000-000000000000}"/>
  <bookViews>
    <workbookView xWindow="19090" yWindow="-6890" windowWidth="38620" windowHeight="21100" xr2:uid="{00000000-000D-0000-FFFF-FFFF00000000}"/>
  </bookViews>
  <sheets>
    <sheet name="ΦΥΛΛΟ ΑΠΟΛΟΓΙΣΜΟΥ FTTH" sheetId="1" r:id="rId1"/>
  </sheets>
  <definedNames>
    <definedName name="_xlnm.Print_Area" localSheetId="0">'ΦΥΛΛΟ ΑΠΟΛΟΓΙΣΜΟΥ FTTH'!$A$2:$H$68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1" l="1"/>
  <c r="M32" i="1"/>
  <c r="M30" i="1"/>
  <c r="M28" i="1"/>
  <c r="M26" i="1"/>
  <c r="M24" i="1"/>
  <c r="M22" i="1"/>
  <c r="M20" i="1"/>
  <c r="E4" i="1" l="1"/>
</calcChain>
</file>

<file path=xl/sharedStrings.xml><?xml version="1.0" encoding="utf-8"?>
<sst xmlns="http://schemas.openxmlformats.org/spreadsheetml/2006/main" count="400" uniqueCount="322">
  <si>
    <t>ΦΥΛΛΟ ΑΠΟΛΟΓΙΣΜΟΥ ΕΡΓΑΣΙΩΝ FTTH Β ΦΑΣΗ</t>
  </si>
  <si>
    <t>ΕΡΓ/ΒΙΑ</t>
  </si>
  <si>
    <t>ΤΕΧΝΙΚΕΣ ΕΡΓΑΣΙΕΣ ΚΑΤΑΣΚΕΥΗΣ ΚΑΙ ΣΥΝΤΗΡΗΣΗΣ ΥΠΟΔΟΜΩΝ</t>
  </si>
  <si>
    <t>ΠΕΡΙΟΧΗ</t>
  </si>
  <si>
    <t>SR ID:</t>
  </si>
  <si>
    <t>ΥΠ/ΕΡΓΟ</t>
  </si>
  <si>
    <t>ΟΛΟΚΛΗΡΩΜΕΝΗ ΕΡΓΟΛΑΒΙΑ ΥΠΟΕΡΓΩΝ ΤΗΛΕΠΙΚΟΙΝΩΝΙΑΚΟΥ ΔΙΚΤΥΟΥ</t>
  </si>
  <si>
    <t>SES ID:</t>
  </si>
  <si>
    <t>ΕΡΓ/ΒΟΣ</t>
  </si>
  <si>
    <t>ΗΜ/ΝΙΑ</t>
  </si>
  <si>
    <t>Α/Κ:</t>
  </si>
  <si>
    <t>ΔΙΕΥΘΥΝΣΗ:</t>
  </si>
  <si>
    <t>CAB:</t>
  </si>
  <si>
    <t>ΕΙΔΟΣ ΟΔΕΥΣΗΣ:</t>
  </si>
  <si>
    <t>ΑΝΑΜΟΝΗ:</t>
  </si>
  <si>
    <t>ΟΡΟΦΟΙ:</t>
  </si>
  <si>
    <t>Άρθρο</t>
  </si>
  <si>
    <t>ΚΑΤΑΣΚΕΥΕΣ</t>
  </si>
  <si>
    <t>ΠΟΣΟΤΗΤΑ</t>
  </si>
  <si>
    <t>ΚΑΥ</t>
  </si>
  <si>
    <t>ΠΕΡΙΓΡΑΦΗ</t>
  </si>
  <si>
    <t>ΜΜ</t>
  </si>
  <si>
    <t xml:space="preserve">Ταινία σήμανσης 2,5cm </t>
  </si>
  <si>
    <t>1973.1</t>
  </si>
  <si>
    <t>1973.2</t>
  </si>
  <si>
    <t>1973.3</t>
  </si>
  <si>
    <t>1985.1</t>
  </si>
  <si>
    <t>1985.2</t>
  </si>
  <si>
    <t>1985.3</t>
  </si>
  <si>
    <t>Κατασκευή κλάδου διανομής από υφιστάμενη υποδομή έως 2m διαμορφωμενης επιφανειας</t>
  </si>
  <si>
    <t>Κατασκευή κλάδου διανομής από υφιστάμενη υποδομή έως 2m αδιαμόρφωτης επιφανειας</t>
  </si>
  <si>
    <t>Κατασκευή κλάδου διανομής από υφιστάμενη υποδομή από 2m έως 15m διαμορφωμένης επιφανειας</t>
  </si>
  <si>
    <t>Κατασκευή κλάδου διανομής από υφιστάμενη υποδομή από 2m έως 15m αδιαμόρφωτης επιφανειας</t>
  </si>
  <si>
    <t>Κατασκευή κλάδου διανομής από υφιστάμενη υποδομή από 15m έως 30m διαμορφωμένης επιφανειας</t>
  </si>
  <si>
    <t>Κατασκευή κλάδου διανομής από υφιστάμενη υποδομή από 15m έως 30m αδιαμόρφωτης επιφανειας</t>
  </si>
  <si>
    <t>ΥΛΙΚΑ ΕΡΓΑΣΙΩΝ FTTH Β ΦΑΣΗ</t>
  </si>
  <si>
    <t>Ενδεικτικό πλέγμα σήμανσης 20cm</t>
  </si>
  <si>
    <t>Small BEP with 1 splitter preinstalled</t>
  </si>
  <si>
    <t>Medium BEP with 1 splitter preinstalled</t>
  </si>
  <si>
    <t>Large BEP with 1 splitter preinstalled</t>
  </si>
  <si>
    <t>X-Large BEP with 1 splitter preinstalled</t>
  </si>
  <si>
    <t>Floor-box with 6 adapters</t>
  </si>
  <si>
    <t>Floor-box with 2 adapters</t>
  </si>
  <si>
    <t>OTO Fiber outlets SC/APC</t>
  </si>
  <si>
    <t>Pigtail SC/APC 1,5M G.657A1/A2</t>
  </si>
  <si>
    <t>Pigtail SC/APC 10m G.657A1/A2 LSZH 2mmOD</t>
  </si>
  <si>
    <t>Pigtail SC/APC 20M G.657A1/A2 LSZH 2mmOD</t>
  </si>
  <si>
    <t>Pigtail SC/APC 30M G.657A1/A2 LSZH 2mmOD</t>
  </si>
  <si>
    <t>Mechanical Connector SC/APC</t>
  </si>
  <si>
    <t>BEP PLC SPLITTERS  1:2 </t>
  </si>
  <si>
    <t>BEP PLC SPLITTERS  1:8 </t>
  </si>
  <si>
    <t>Microduct  7/4 mm indoor LSZH</t>
  </si>
  <si>
    <t>KOI(m)</t>
  </si>
  <si>
    <t>FTTH ΥΠΟΓ ΔΔ (Cabin to BEP)</t>
  </si>
  <si>
    <t>ΕΝΑΕΡΙΟ FTTH  ΔΔ (Cabinor BCP to BEP)</t>
  </si>
  <si>
    <t>ΕΝΑΕΡΙΟ FTTH  ΣΥΝΔΡΟΜ. (BEP to Floor Box)</t>
  </si>
  <si>
    <t>FTTH INHOUSE (Κάθετη όδευση εντός Κτηρίου BEP-Fl</t>
  </si>
  <si>
    <t>ΔΙΑΔΡΟΜΕΣ</t>
  </si>
  <si>
    <t>Συνολο (θα πρέπει να είναι ίσο με τα υλικά που χρεώθηκαν καθώς και με το Asbuild)</t>
  </si>
  <si>
    <t xml:space="preserve">ΣΥΝΟΛΟ KOI(m) ΣΤΑ ΥΛΙΚΑ </t>
  </si>
  <si>
    <t>1985.4</t>
  </si>
  <si>
    <t>Αυτοψία σε κτίριο συνδεδεμένο με το δίκτυο FTTH άλλου παρόχου (site survey), με σημείο παράδοσης υπηρεσίας το Floor Box (FB)</t>
  </si>
  <si>
    <t>Επέκταση υποδομής σωληνίσκου/ων κλάδου διανομής δικτύου FTTH έως τον κατανεμητή του κτιρίου πελάτη (εσκαλίτ) μέσω υφιστάμενης σωλήνωσης εισαγωγής ΟΤΕ έως 5m</t>
  </si>
  <si>
    <t>Επέκταση υποδομής σωληνίσκου/ων κλάδου διανομής δικτύου FTTH έως τον κατανεμητή του κτιρίου πελάτη (εσκαλίτ) μέσω υφιστάμενης σωλήνωσης εισαγωγής ΟΤΕ έως 15m</t>
  </si>
  <si>
    <t>Επέκταση υποδομής σωληνίσκου/ων κλάδου διανομής δικτύου FTTH έως θέση εντός ιδιοκτησίας πελάτη με κατασκευή εξ ολοκλήρου νέας σωλήνωσης έως 5m</t>
  </si>
  <si>
    <t>Επέκταση υποδομής σωληνίσκου/ων κλάδου διανομής δικτύου FTTH έως θέση εντός ιδιοκτησίας πελάτη με κατασκευή εξ ολοκλήρου νέας σωλήνωσης έως 15m</t>
  </si>
  <si>
    <t>Επέκταση υποδομής σωληνίσκου/ων κλάδου διανομής δικτύου FTTH έως θέση εντός ιδιοκτησίας πελάτη με κατασκευή εξ ολοκλήρου νέας σωλήνωσης έως 30m</t>
  </si>
  <si>
    <t>Επέκταση υποδομής σωληνίσκου/ων κλάδου διανομής δικτύου FTTH έως θέση εντός ιδιοκτησίας πελάτη με κατασκευή εξ ολοκλήρου νέας σωλήνωσης έως 60m</t>
  </si>
  <si>
    <t>Τοποθέτηση τερματικής διάταξης κτιρίου FTTH δικτύου οπτικών ινών (BEP) έως 10m</t>
  </si>
  <si>
    <t>Τοποθέτηση τερματικής διάταξης κτιρίου FTTH δικτύου οπτικών ινών (BEP) έως 25m</t>
  </si>
  <si>
    <t>Τοποθέτηση τερματικής διάταξης κτιρίου FTTH δικτύου οπτικών ινών (BEP) έως 40m</t>
  </si>
  <si>
    <t>Αντικατάσταση τερματικής διάταξης κτιρίου ή κoυτιού διακλάδωσης KOI (BCP)  ή κουτιού τερματισμού ΚΟΙ ορόφου (Floor Box)   δικτύου FTTH εώς 12 υφιστάμενες συνδέσεις</t>
  </si>
  <si>
    <t>Αντικατάσταση τερματικής διάταξης κτιρίου ή κoυτιού διακλάδωσης KOI (BCP)  ή κουτιού τερματισμού ΚΟΙ ορόφου (Floor Box)   δικτύου FTTH εώς 32 υφιστάμενες συνδέσεις</t>
  </si>
  <si>
    <t>Εργασίες σε ύψος</t>
  </si>
  <si>
    <t>Εργασίες σε ύψος με χρήση κινητών εξεδρών/καλαθοφόρων</t>
  </si>
  <si>
    <t>Εργασίες σε ύψος με χρήση ικριωμάτων</t>
  </si>
  <si>
    <t>Εγκατάσταση διαχωριστή οπτικού σήματος  (splitter) δικτύου FTTH</t>
  </si>
  <si>
    <t>Τοποθέτηση ΚΟΙ δικτύου FTTH από την καμπίνα έως την τερματική διάταξη κτιρίου (ΒΕΡ) ή έως τo κουτι διακλάδωσης ΚΟΙ(BCP) επί στύλου ή τοίχου,  με τους τερματισμούς και τις διασυνδέσεις σε ελεύθερη υποδομή</t>
  </si>
  <si>
    <t>Τοποθέτηση ΚΟΙ δικτύου FTTH από την καμπίνα έως την τερματική διάταξη κτιρίου (ΒΕΡ) ή έως τo κουτι διακλάδωσης ΚΟΙ(BCP) επί στύλου ή τοίχου,  με τους τερματισμούς και τις διασυνδέσεις σε κατειλημμένη υποδομή</t>
  </si>
  <si>
    <t>Κατασκευή κατακόρυφης υποδομής όδευσης ΚΟΙ σε κτίριο ανά όροφο με μικροϋλικά</t>
  </si>
  <si>
    <t>Κατασκευή κατακόρυφης υποδομής όδευσης ΚΟΙ σε κτίριο ανά όροφο με υλικά μικροϋλικά</t>
  </si>
  <si>
    <t>Κατασκευή κατακόρυφης υποδομής όδευσης ΚΟΙ σε κτίριο  εντος φρεατίου ανελκυστήρα εως 5 ορόφους</t>
  </si>
  <si>
    <t>Κατασκευή κατακόρυφης υποδομής όδευσης ΚΟΙ σε κτίριο  εντος φρεατίου ανελκυστήρα για κάθε επιπλέον όροφο</t>
  </si>
  <si>
    <t>Σύνδεση πελάτη σε bep με νέα κατακόρυφη υποδομή</t>
  </si>
  <si>
    <t>Σύνδεση πελάτη σε bep με υφιστάμενη κατακόρυφη υποδομή</t>
  </si>
  <si>
    <t>Σύνδεση ενεργού εξοπλισμού πελάτη και ενεργοποίηση υπηρεσίας</t>
  </si>
  <si>
    <t>Επέκταση κλάδου διανομής επί στύλου ή τοίχου σε Δ.Χ. έως 3m</t>
  </si>
  <si>
    <t>Επέκταση κλάδου διανομής επί τοίχου σε Ι.Χ. έως 5m</t>
  </si>
  <si>
    <t>Επέκταση κλάδου διανομής επί τοίχου σε Ι.Χ. έως 15m</t>
  </si>
  <si>
    <t>Επέκταση κλάδου διανομής επί τοίχου σε Ι.Χ. έως 30m</t>
  </si>
  <si>
    <t>Κατασκευή υπόγειας/επίγειας καλωδίωσης και διάταξης  έως 5m</t>
  </si>
  <si>
    <t>Κατασκευή υπόγειας/επίγειας καλωδίωσης και διάταξης έως 15m</t>
  </si>
  <si>
    <t>Κατασκευή υπόγειας/επίγειας καλωδίωσης και διάταξης έως 30m</t>
  </si>
  <si>
    <t>Κατασκευή υπόγειας/επίγειας καλωδίωσης και διάταξης έως 60m</t>
  </si>
  <si>
    <t>Άρση βλάβης πολυσωληνίου έως 4 σωληνίσκων</t>
  </si>
  <si>
    <t>Άρση βλάβης πολυσωληνίου άνω 4 σωληνίσκων</t>
  </si>
  <si>
    <t>Τροποποίηση των διασυνδέσεων (splitter) δικτύου FTTH</t>
  </si>
  <si>
    <t>1998.1</t>
  </si>
  <si>
    <t>1998.2</t>
  </si>
  <si>
    <t>1998.3</t>
  </si>
  <si>
    <t>1998.4</t>
  </si>
  <si>
    <t>1998.5</t>
  </si>
  <si>
    <t>1998.6</t>
  </si>
  <si>
    <t>1999.1</t>
  </si>
  <si>
    <t>1999.2</t>
  </si>
  <si>
    <t>1999.3</t>
  </si>
  <si>
    <t>Αποτοποθέτηση-αποξήλωση οπτικού καλωδίου μήκους μεγαλύτερου από 15m</t>
  </si>
  <si>
    <t>Αποτοποθέτηση-αποξήλωση οπτικού καλωδίου μήκους έως 15m</t>
  </si>
  <si>
    <t>Αποτοποθέτηση-αποξήλωση οπτικού καλωδίου ανά Span (Διάστημα μεταξύ 2 στύλων) εναερίου οπτικού καλωδίου</t>
  </si>
  <si>
    <t xml:space="preserve">Εργασίες Συγκόλλησης και Τερματισμού  σε Οπτική Διάταξη  διασύνδεσης (οπτικός σύνδεσμος ή οπτικό κουτί διασύνδεσης BCP) έως 60 ινών </t>
  </si>
  <si>
    <t xml:space="preserve">Εργασίες Συγκόλλησης και Τερματισμού  σε Οπτική Διάταξη  διασύνδεσης (οπτικός σύνδεσμος ή οπτικό κουτί διασύνδεσης BCP) έως 48 ινών </t>
  </si>
  <si>
    <t xml:space="preserve">Εργασίες Συγκόλλησης και Τερματισμού  σε Οπτική Διάταξη  διασύνδεσης (οπτικός σύνδεσμος ή οπτικό κουτί διασύνδεσης BCP) έως 36 ινών </t>
  </si>
  <si>
    <t xml:space="preserve">Εργασίες Συγκόλλησης και Τερματισμού  σε Οπτική Διάταξη  διασύνδεσης (οπτικός σύνδεσμος ή οπτικό κουτί διασύνδεσης BCP) έως 24 ινών </t>
  </si>
  <si>
    <t xml:space="preserve">Εργασίες Συγκόλλησης και Τερματισμού  σε Οπτική Διάταξη  διασύνδεσης (οπτικός σύνδεσμος ή οπτικό κουτί διασύνδεσης BCP) έως 12 ινών </t>
  </si>
  <si>
    <t xml:space="preserve">Εργασίες Συγκόλλησης και Τερματισμού  σε Οπτική Διάταξη  διασύνδεσης (οπτικός σύνδεσμος ή οπτικό κουτί διασύνδεσης BCP) έως 8 ινών </t>
  </si>
  <si>
    <t xml:space="preserve">Τοποθέτηση οπτικής διάταξης διασύνδεσης επί στύλου (οπτικός σύνδεσμος ή οπτικό κουτί διασύνδεσης BCP) </t>
  </si>
  <si>
    <t>Τοποθέτηση αυτοστήρικτων εναερίων οπτικών καλωδίων οποιασδήποτε χωρητικότητας ανά Span (Διάστημα μεταξύ 2 στύλων)</t>
  </si>
  <si>
    <t>Multi-ducts 24x7/4mm+ 1x10/14mm-DB</t>
  </si>
  <si>
    <t>Multi-ducts 12x7/4mm + 1x10/14mm-DB</t>
  </si>
  <si>
    <t>M</t>
  </si>
  <si>
    <t>Multi-ducts 9x7/4mm+1x10/14mm-DB</t>
  </si>
  <si>
    <t xml:space="preserve">Microduct 7/4mm DB </t>
  </si>
  <si>
    <t>Straight connector 7/4mm DB</t>
  </si>
  <si>
    <t>Endcaps 7/4mm</t>
  </si>
  <si>
    <t>Individual divisible sealing 7/2,5mm</t>
  </si>
  <si>
    <t xml:space="preserve">Ball marker </t>
  </si>
  <si>
    <t>TMX</t>
  </si>
  <si>
    <t>Multiduct  flat 6x7/4 mm indoor LSZH</t>
  </si>
  <si>
    <t>4 FO indoor micro cable LSZH G657A</t>
  </si>
  <si>
    <t>12 FO indoor micro cable LSZH G657A</t>
  </si>
  <si>
    <t>2 FO indoor micro cable LSZH G657A</t>
  </si>
  <si>
    <t>4 FO outdoor induct micro cable  G657A</t>
  </si>
  <si>
    <t>12 FO outdoor induct micro cable  G657A</t>
  </si>
  <si>
    <t>4 FO indoor φύρα</t>
  </si>
  <si>
    <t>12 FO indoor φύρα</t>
  </si>
  <si>
    <t>2 FO indoor φύρα</t>
  </si>
  <si>
    <t>4 FO outdoor φύρα</t>
  </si>
  <si>
    <t>12 FO outdoor φυρα</t>
  </si>
  <si>
    <t>ΦΥΡΑ ΚΟΙ(m)</t>
  </si>
  <si>
    <t>1984.i</t>
  </si>
  <si>
    <t>1984.ii</t>
  </si>
  <si>
    <t>ΚΟΙΝΟΠΡΑΞΙΑ DIGITALARK-EUROAXES</t>
  </si>
  <si>
    <t>Aerial flat drop cable 2 F/O</t>
  </si>
  <si>
    <t>Αυτοψία σε κτίριο με χρήση πλατφόρμας ηλεκτρονικής υποβολής,  Για ολοκλήρωση της αυτοψίας σε ΄΄μεσαίο &amp; μεγάλο κτίριο’’ από αναμονή FTTH κλάδου διανομής ή BCP</t>
  </si>
  <si>
    <t>Αυτοψία σε κτίριο με χρήση πλατφόρμας ηλεκτρονικής υποβολής,  Για ολοκλήρωση της αυτοψίας σε ‘’μικρό κτίριο’΄, από αναμονή FTTH κλάδου διανομής ή BCP</t>
  </si>
  <si>
    <t>Τοποθέτηση Κεντρικού Κατανεμητή Κτιρίου και διασύνδεση με ΒΕΡ, σε μικρά κτίρια, αυτά δηλαδή που οι συνδρομητικές διεπαφές του κτιρίου είναι έως τέσσερις (4) και κατανεμημένες σε έως δύο (2) επίπεδα</t>
  </si>
  <si>
    <t>Τοποθέτηση Κεντρικού Κατανεμητή Κτιρίου και διασύνδεση με ΒΕΡ, σε μεσαία και μεγάλα κτίρια, όσα δηλαδή δεν ανήκουν στην παραπάνω περιγραφή</t>
  </si>
  <si>
    <t xml:space="preserve">Για εγκατάσταση/αντικατάσταση διαχωριστή οπτικού σήματος  (splitter) σε BEP/BCP με εντολή εργασίας προκαλωδίωσης μετά την ολοκλήρωση της αρχικής εγκατάστασης </t>
  </si>
  <si>
    <t>Για ομαδοποιημένη εγκατάσταση/αντικατάσταση διαχωριστή οπτικού σήματος  (splitter) σε BEP/BCP με εντολή εργασίας προκαλωδίωσης μετά την ολοκλήρωση της αρχικής εγκατάστασης</t>
  </si>
  <si>
    <t>Κατασκευή οριζόντιας υποδομής όδευσης ΚΟΙ και τοποθέτηση σε αυτή ΚΟΙ δικτύου FTTH με «απ’ άκρου εις άκρον» φυσική συνέχεια σωλήνωσης,  που ξεκινά από το BEP και καταλήγει είτε σε Floor Box στο ίδιο επίπεδο είτε μεταξύ δύο Floor Boxes στο ίδιο επίπεδο, εσωτερικά και/ή εξωτερικά του κτιρίου έως 5m</t>
  </si>
  <si>
    <t>Κατασκευή οριζόντιας υποδομής όδευσης ΚΟΙ και τοποθέτηση σε αυτή ΚΟΙ δικτύου FTTH με «απ’ άκρου εις άκρον» φυσική συνέχεια σωλήνωσης,  που ξεκινά από το BEP και καταλήγει είτε σε Floor Box στο ίδιο επίπεδο είτε μεταξύ δύο Floor Boxes στο ίδιο επίπεδο, εσωτερικά και/ή εξωτερικά του κτιρίου πάνω από 5m</t>
  </si>
  <si>
    <t>Τοποθέτηση και τερματισμός ΚΟΙ σε κατακόρυφη υποδομή για τους 3 πρώτους ορόφους ανά όροφο σε υποδομή κατακόρυφης καλωδίωσης ευθυγραμισμένη με νέα ΚΥΑ</t>
  </si>
  <si>
    <t>Τοποθέτηση και τερματισμός ΚΟΙ σε κατακόρυφη υποδομή επιπλέον των 3 πρώτων ορόφων ανά όροφο σε υποδομή κατακόρυφης καλωδίωσης ευθυγραμμισμένη με νέα ΚΥΑ</t>
  </si>
  <si>
    <t>Για κατασκευή επίγειας/υπόγειας καλωδίωσης έως 5 μέτρα ευθυγραμμισμένη με νέα ΚΥΑ</t>
  </si>
  <si>
    <t>Για κατασκευή επίγειας/υπόγειας καλωδίωσης έως 15 μέτρα ευθυγραμμισμένη με νέα ΚΥΑ</t>
  </si>
  <si>
    <t>Για κατασκευή επίγειας/υπόγειας καλωδίωσης έως 30 μέτρα ευθυγραμμισμένη με νέα ΚΥΑ</t>
  </si>
  <si>
    <t>Για κατασκευή επίγειας/υπόγειας καλωδίωσης έως 60 μέτρα ευθυγραμμισμένη με νέα ΚΥΑ</t>
  </si>
  <si>
    <t>Για συνολικό μήκος εναέριας καλωδίωσης από 16μέτρα έως 50μέτρα</t>
  </si>
  <si>
    <t>Για συνολικό μήκος εναέριας καλωδίωσης έως 16μέτρα</t>
  </si>
  <si>
    <t>Υλοποίηση υποδομής FTTH σε κτίριο τριών (3) επιπέδων με χρήση Smart Readiness Voucher</t>
  </si>
  <si>
    <t>Υλοποίηση υποδομής FTTH σε κτίριο από τέσσερα (4) επίπεδα και πάνω με χρήση Smart Readiness Voucher</t>
  </si>
  <si>
    <t>Υλοποίηση υποδομής FTTH σε κτίριο έως και δύο (2) επιπέδων με χρήση Smart Readiness Voucher  (νέα ΚΥΑ 2023)</t>
  </si>
  <si>
    <t>Υλοποίηση υποδομής FTTH σε κτίριο τριών (3) επιπέδων με χρήση Smart Readiness Voucher (νέα ΚΥΑ 2023)</t>
  </si>
  <si>
    <t>Υλοποίηση υποδομής FTTH σε κτίριο από τέσσερα (4) επίπεδα έως έξι (6) επίπεδα με χρήση Smart Readiness Voucher (νέα ΚΥΑ 2023)</t>
  </si>
  <si>
    <t>Υλοποίηση υποδομής FTTH σε κτίριο από επτά (7) επίπεδα και πάνω με χρήση Smart Readiness Voucher  (νέα ΚΥΑ 2023)</t>
  </si>
  <si>
    <t xml:space="preserve">Τοποθέτηση ζεύγους τερματικού εξοπλισμού, συμβατού με το πρωτόκολλο G.hn (Gigabit home network) για σύνδεση ζεύγους συσκευών συμβατών με το πρωτόκολλο G.hn στην εισαγωγή χαλκού εντός κτιρίου /ή και στο pillar αναχώρησης χαλκού καθώς και εντός χώρου του πελάτη, συμπεριλαμβανομένης της ενεργοποίησης της υπηρεσίας  </t>
  </si>
  <si>
    <t>Τοποθέτηση ζεύγους τερματικού εξοπλισμού, συμβατού με το πρωτόκολλο G.hn (Gigabit home network) για σύνδεση ζεύγους συσκευών συμβατών με το πρωτόκολλο G.hn εκτός κτιρίου επί στύλου καθώς και εντός χώρου του πελάτη, συμπεριλαμβανομένης της ενεργοποίησης της υπηρεσίας</t>
  </si>
  <si>
    <t xml:space="preserve">Εγκατάσταση συνεργείου για την εκτέλεση έκτακτων εργασιών κατασκευής υποδομών &amp; διασύνδεσης κτιρίου με το δίκτυο διανομής FTTH (Β’ Φάση) σε ηπειρωτικές περιοχές για κτίρια έως 3 χώρους (ανεξάρτητες οικίες ή/και καταστήματα) </t>
  </si>
  <si>
    <t>Εγκατάσταση συνεργείου για την εκτέλεση έκτακτων εργασιών κατασκευής υποδομών &amp; διασύνδεσης κτιρίου με το δίκτυο διανομής FTTH (Β’ Φάση) σε ηπειρωτικές περιοχές για κτίρια άνω των 3 χώρων (ανεξάρτητες οικίες ή/και καταστήματα)</t>
  </si>
  <si>
    <t>Υλοποίηση νέου πελάτη με κατασκευή οριζόντιας καλωδίωσης ορόφου ανεξαρτήτως τεχνικής λύσης χωρίς ενεργοποίηση υπηρεσίας με μόνο κατασκευή νέου πελάτη, κατά τη διάρκεια της κατασκευής κατακόρυφης υποδομής όδευσης FTTH ΚΟΙ σε κτίριο (ανεξαρτήτως υλοποίησης εσωτερικού/εξωτερικού χώρου ή εντός /εκτός υποδομής προστασίας)</t>
  </si>
  <si>
    <t>Υλοποίηση νέου πελάτη με κατασκευή οριζόντιας καλωδίωσης ορόφου ανεξαρτήτως τεχνικής λύσης με ενεργοποίηση υπηρεσίας με κατασκευή &amp; σύνδεση (ενεργοποίηση) νέου πελάτη, κατά τη διάρκεια της κατασκευής κατακόρυφης υποδομής όδευσης FTTH ΚΟΙ σε κτίριο (ανεξαρτήτως υλοποίησης εσωτερικού/εξωτερικού χώρου ή εντός / εκτός υποδομής προστασίας)</t>
  </si>
  <si>
    <t>Υλοποίηση νέου πελάτη με κατασκευή οριζόντιας καλωδίωσης ορόφου ανεξαρτήτως τεχνικής λύσης χωρίς ενεργοποίηση υπηρεσίας με μόνο κατασκευή νέου πελάτη, μετά την ολοκλήρωση κατασκευής κατακόρυφης υποδομής όδευσης FTTH ΚΟΙ σε κτίριο (ανεξαρτήτως υλοποίησης εσωτερικού/εξωτερικού χώρου ή εντός / εκτός υποδομής προστασίας)</t>
  </si>
  <si>
    <t>Υλοποίηση νέου πελάτη με κατασκευή οριζόντιας καλωδίωσης ορόφου ανεξαρτήτως τεχνικής λύσης με ενεργοποίηση υπηρεσίας με κατασκευή &amp; σύνδεση (ενεργοποίηση) νέου πελάτη, μετά την ολοκλήρωση κατασκευής κατακόρυφης υποδομής όδευσης FTTH ΚΟΙ σε κτίριο (ανεξαρτήτως υλοποίησης εσωτερικού/εξωτερικού χώρου ή εντός/εκτός υποδομής προστασίας)</t>
  </si>
  <si>
    <t>Αποκατάσταση σύνδεσης πελάτη με την τοποθέτηση και τον τερματισμό της οριζόντιας καλωδίωσης ορόφου (ανεξαρτήτως υλοποίησης εσωτερικού/εξωτερικού χώρου ή εντός/εκτός υποδομής προστασίας)</t>
  </si>
  <si>
    <t>Ειπρόσθετη αποζημίωση στα άνωθεν τιμήματα ( I, II, III, IV)  για κάθε υλοποίηση με συνολικό μήκος από 40 μέτρα και άνω ή για κάθε μικτή όδευση με τοποθέτηση από 10 μέτρα και άνω πλαστικού σωλήνα βαρέoς τύπου ηλεκτρικών γραμμών, ευθύγραμμου ή ευκάμπτου (σπιράλ), ορατού, τύπου CONDUR/ CONFLEX (KOUVIDIS) για εγκαταστάσεις εξωτερικού χώρου με τα απαραίτητα πλαστικά κουτιά διακλαδώσεως, με τα πλαστικά προστόμια (ευθύγραμμα ή καμπύλα) και με τα απαιτούμενα μικροϋλικά προμήθειας Εργολήπτη.</t>
  </si>
  <si>
    <t>Τοποθέτηση και τερματισμός ΚΟΙ σε κατακόρυφη υποδομή  για τους 3 πρώτους ορόφους ανά όροφο σε υποδομή κατακόρυφης καλωδίωσης</t>
  </si>
  <si>
    <t>Τοποθέτηση και τερματισμός ΚΟΙ σε κατακόρυφη υποδομή επιπλέον των 3 πρώτων ορόφων  ανά όροφο σε υποδομή κατακόρυφης καλωδίωσης</t>
  </si>
  <si>
    <t>Aerial flat drop cable 2 F/O  φύρα</t>
  </si>
  <si>
    <t>Fibre optic cable 12F/O Aerial</t>
  </si>
  <si>
    <t>Fibre optic cable 12F/O Aerial φύρα</t>
  </si>
  <si>
    <t>Wall mounted flat drop cable 2 F/O</t>
  </si>
  <si>
    <t>Wall mounted flat drop cable 2 F/O φύρα</t>
  </si>
  <si>
    <t>Small BEP-BCP</t>
  </si>
  <si>
    <t>Medium BEP-BCP</t>
  </si>
  <si>
    <t>HUA transparent optical cable SC/APC 10m</t>
  </si>
  <si>
    <t>HUA transparent optical cable SC/APC 20m</t>
  </si>
  <si>
    <t>HUA transparent optical cable SC/APC 30m</t>
  </si>
  <si>
    <t>HUA transparent optical cable SC/APC 40m</t>
  </si>
  <si>
    <t>HUA OTO Fiber outlets SC/APC</t>
  </si>
  <si>
    <t>Σιδηροσωλήνας γαλβανιζέ 3/4 μηκος 3,3μ</t>
  </si>
  <si>
    <t>Δακτύλιος D=3/4</t>
  </si>
  <si>
    <t xml:space="preserve">ΘΗΛΕΙΑ ΣΤΥΛΟΥ ΚΛΕΙΣΤΗ ΑΝΑΡΤΗΣΗΣ ΑΥΤΟΣΤΗΡ </t>
  </si>
  <si>
    <t>ΚΡΙΚΟΣ (ΡΟΔΑΝΤΖΑ) ΑΥΛΑΚΩΤΟΣ D=1/2΄΄</t>
  </si>
  <si>
    <t>ΣΥΡΜΑ ΠΡΟΣΔΕΣΕΩΣ ΜΟΝ. PVC  D=1,1 mm</t>
  </si>
  <si>
    <t>ΘΗΛΕΙΑ ΤΟΙΧΟΥ 1/2΄΄Χ 120mm ΓΑΛΒΑΝΙΣΜΕΝΗ</t>
  </si>
  <si>
    <t>ΘΗΛΕΙΑ ΣΤΥΛΟΥ ΑΝΟΙΧΤΗ ΜΕ ΚΟΧΛΙΑ</t>
  </si>
  <si>
    <t>ΣΤΕΦΑΝΗ ΣΤΥΛΟΥ ΑΝΑΡΤΗΣΗΣ ΑΥΤΟΣΤ ΚΑΛΩΔΙΩΝ</t>
  </si>
  <si>
    <t>ΞΥΛΙΝΟΣ ΣΤΥΛΟΣ8mΟΙΚΟΛΟΓΙΚΑ ΕΜΠΟΤΙΣΜ.</t>
  </si>
  <si>
    <t>ΚΡΙΚΟΣ (ΡΟΔΑΝΤΖΑ) ΑΥΛΑΚΩΤΟΣ D=3/8΄΄</t>
  </si>
  <si>
    <t>ΤΕΡΜΑΤΙΚΟ ΣΤΗΡΓΜΑ ΤΥΠΟΥ ΣΦΗΝΑΣ</t>
  </si>
  <si>
    <t>ΔΙΑΒΑΤΙΚΟ ΣΤΗΡΙΓΜΑ ΤΥΠΟΥ J HOOK</t>
  </si>
  <si>
    <t>ΟΡΓΑΝΩΤΗΡΑΣ ΔΙΑΧΕΙΡΙΣΗΣ ΠΕΡΙΣΣΕΙΑΣ ΚΑΛΩΔ</t>
  </si>
  <si>
    <t>ΜΕΤΑΛΛΙΚΟΣ ΣΦΙΓΚΤΗΡΑΣ ΤΣΕΡΚΟΤΑΙΝΙΑΣ 21mm</t>
  </si>
  <si>
    <t>ΑΓΓΙΣΤΡΟ ΑΝΑΡΤΗΣΗΣ ΚΑΛΩΔΙΩΝ ΑΠΌ ΣΤΥΛΟ</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</si>
  <si>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για συνολικό μήκος επέκτασης του κλάδου διανομής έως 5μέτρα (νέα ΚΥΑ 2023) (2 σωληνίσκοι)</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</si>
  <si>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για συνολικό μήκος επέκτασης του κλάδου διανομής έως 15μέτρα (νέα ΚΥΑ 2023) (2 σωληνίσκοι)</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</si>
  <si>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για συνολικό μήκος επέκτασης του κλάδου διανομής έως 30μέτρα (νέα ΚΥΑ 2023) (2 σωληνίσκοι)</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</si>
  <si>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για συνολικό μήκος επέκτασης του κλάδου διανομής έως 60μέτρα  (νέα ΚΥΑ 2023) (2 σωληνίσκοι)</t>
  </si>
  <si>
    <t>Επέκταση κλάδου διανομής επί στύλου ή τοίχου εκτεθειμένου σε Δ.Χ. από 3m έως 10m</t>
  </si>
  <si>
    <t>Επέκταση κλάδου διανομής επί στύλου ή τοίχου εκτεθειμένου σε Δ.Χ. από 10m έως 15m</t>
  </si>
  <si>
    <t>Υλοποίηση υποδομής FTTH σε κτίριο έως και δύο (2) επιπέδων με χρήση Smart Readiness Voucher</t>
  </si>
  <si>
    <t>Patchcord SC/APC-SC/APC 4M</t>
  </si>
  <si>
    <t>Patchcord SC/APC-SC/APC  2M</t>
  </si>
  <si>
    <t>Direct Install Microduct Μde -D- 10/12mm</t>
  </si>
  <si>
    <t>ΣΥΝΔΕΣΜΟΙ ΣΩΛΗΝΙΣΚΩΝ ΠΟΛΥΣΩΛΗΝ D=10/12mm</t>
  </si>
  <si>
    <t>ΤΑΠΕΣ ΣΩΛΗΝΙΣΚΩΝ ΠΟΛΥΣΩΛΗΝΙΟΥ D=10/12mm</t>
  </si>
  <si>
    <t>Patchcord SC/APC-SC/APC  3M</t>
  </si>
  <si>
    <t>ΣΥΝΔΕΣΜΟΙ ΣΩΛΗΝΙΣΚΩΝ ΠΟΛΥΣΩΛΗΝ D=10/14mm</t>
  </si>
  <si>
    <t>ΤΑΠΕΣ ΣΩΛΗΝΙΣΚΩΝ ΠΟΛΥΣΩΛΗΝΙΟΥ D=10/14mm</t>
  </si>
  <si>
    <t xml:space="preserve">Floor-box with 4 adapters </t>
  </si>
  <si>
    <t xml:space="preserve">Floor-box with 12 adapters </t>
  </si>
  <si>
    <t>Microduct Μde -D- 8/10mm</t>
  </si>
  <si>
    <t>END CAPS 8/10mm</t>
  </si>
  <si>
    <t>Small BMO</t>
  </si>
  <si>
    <t>Medium BMO</t>
  </si>
  <si>
    <t xml:space="preserve">Large BMO </t>
  </si>
  <si>
    <t>1915.I.i.</t>
  </si>
  <si>
    <t>1915.I.ii.</t>
  </si>
  <si>
    <t>1915.II.i.</t>
  </si>
  <si>
    <t>1915.II.ii.</t>
  </si>
  <si>
    <t>1915.IV.i.</t>
  </si>
  <si>
    <t>1915.IV.ii.</t>
  </si>
  <si>
    <t>1956.I.</t>
  </si>
  <si>
    <t>1956.II.</t>
  </si>
  <si>
    <t>1963.i.</t>
  </si>
  <si>
    <t>1963.ii.</t>
  </si>
  <si>
    <t>1965.I.</t>
  </si>
  <si>
    <t>1965.II.</t>
  </si>
  <si>
    <t>1965.III.</t>
  </si>
  <si>
    <t>1965.IV.</t>
  </si>
  <si>
    <t>1965.V.</t>
  </si>
  <si>
    <t>1965.VI.</t>
  </si>
  <si>
    <t>1965.VII.</t>
  </si>
  <si>
    <t>1965.VIII.</t>
  </si>
  <si>
    <t>1970.I.</t>
  </si>
  <si>
    <t>1970.II.</t>
  </si>
  <si>
    <t>1970.III.</t>
  </si>
  <si>
    <t>1970.IV.</t>
  </si>
  <si>
    <t>1970.V.</t>
  </si>
  <si>
    <t>1971.I.</t>
  </si>
  <si>
    <t>1971.II.</t>
  </si>
  <si>
    <t>1977.I</t>
  </si>
  <si>
    <t>1977.II</t>
  </si>
  <si>
    <t>1977.III</t>
  </si>
  <si>
    <t>1977.IV</t>
  </si>
  <si>
    <t>1980.I.</t>
  </si>
  <si>
    <t>1980.II.</t>
  </si>
  <si>
    <t>1986.I.</t>
  </si>
  <si>
    <t>1986.II.</t>
  </si>
  <si>
    <t>1986.III.</t>
  </si>
  <si>
    <t>1986.IV.</t>
  </si>
  <si>
    <t>1955.I.</t>
  </si>
  <si>
    <t>1955.II.</t>
  </si>
  <si>
    <t>1955.III.</t>
  </si>
  <si>
    <t>1955.IV.</t>
  </si>
  <si>
    <t>1955.V.</t>
  </si>
  <si>
    <t>1955.VI.</t>
  </si>
  <si>
    <t>1988.i.</t>
  </si>
  <si>
    <t>1988.ii.</t>
  </si>
  <si>
    <t>1991.i.1</t>
  </si>
  <si>
    <t>1991.i.2</t>
  </si>
  <si>
    <t>1991.i.3</t>
  </si>
  <si>
    <t>1991.ii.1</t>
  </si>
  <si>
    <t>1991.ii.2</t>
  </si>
  <si>
    <t>1991.ii.3</t>
  </si>
  <si>
    <t>1993.I.i.</t>
  </si>
  <si>
    <t>1993.I.ii.</t>
  </si>
  <si>
    <t>1993.I.iii.</t>
  </si>
  <si>
    <t>1993.I.iv.</t>
  </si>
  <si>
    <t>1993.I.v.</t>
  </si>
  <si>
    <t>1993.I.vi.</t>
  </si>
  <si>
    <t>1993.I.vii.</t>
  </si>
  <si>
    <t>1993.I.viii.</t>
  </si>
  <si>
    <t>1993.II.</t>
  </si>
  <si>
    <t>1993.III.</t>
  </si>
  <si>
    <t>1995.I.</t>
  </si>
  <si>
    <t>1995.II.</t>
  </si>
  <si>
    <t>1957.I.</t>
  </si>
  <si>
    <t>1957.II.</t>
  </si>
  <si>
    <t>1957.III.</t>
  </si>
  <si>
    <t>1957.IV.</t>
  </si>
  <si>
    <t>1957.V.</t>
  </si>
  <si>
    <t>1957.VI.</t>
  </si>
  <si>
    <t>1957.VII.</t>
  </si>
  <si>
    <t>1959.I.</t>
  </si>
  <si>
    <t>1959.II.</t>
  </si>
  <si>
    <t>Υλοποίηση υποδομής Smart Points λόγω της Δράσης Smart Readiness με Εγκαταστάτη την CTS (μετρητές κατανάλωσης ρεύματος)</t>
  </si>
  <si>
    <t>Υλοποίηση υποδομής Smart Points λόγω της Δράσης Smart Readiness με Εγκαταστάτη την CTS (μετρητές φυσικού αερίου)</t>
  </si>
  <si>
    <t>Υλοποίηση υποδομής Smart Points λόγω της Δράσης Smart Readiness με Εγκαταστάτη την CTS (λεβητοστάσιο κεντρικής θέρμανσης)</t>
  </si>
  <si>
    <t>Υλοποίηση υποδομής Smart Points λόγω της Δράσης Smart Readiness με Εγκαταστάτη την CTS (μηχανοστάσιο ανελκυστήρα)</t>
  </si>
  <si>
    <t>1969.Β</t>
  </si>
  <si>
    <t>1969.Γ</t>
  </si>
  <si>
    <t>1969.Δ</t>
  </si>
  <si>
    <t>1969.Ε</t>
  </si>
  <si>
    <t>1968.I</t>
  </si>
  <si>
    <t>1968.II</t>
  </si>
  <si>
    <t>1953Β.I.i</t>
  </si>
  <si>
    <t>1953Β.I.ii</t>
  </si>
  <si>
    <t>1953Β.II.i</t>
  </si>
  <si>
    <t>1953Β.II.ii</t>
  </si>
  <si>
    <t>1953Β.III.ii</t>
  </si>
  <si>
    <t>1953Β.III.i</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</si>
  <si>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για κτίρια έως 3 χώρους (ανεξάρτητες οικίες ή/και καταστήματα) ζώνη Α</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</si>
  <si>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για κτίρια άνω των 3 χώρων (ανεξάρτητες οικίες ή/και καταστήματα) ζώνη Α</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</si>
  <si>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για κτίρια έως 3 χώρους (ανεξάρτητες οικίες ή/και καταστήματα) ζώνη Β</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</si>
  <si>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για κτίρια άνω των 3 χώρων (ανεξάρτητες οικίες ή/και καταστήματα) ζώνη Β</t>
  </si>
  <si>
    <t>1955.VII.</t>
  </si>
  <si>
    <t>1994Α</t>
  </si>
  <si>
    <t>Τοποθέτηση οπτικής ίνας σε αυτόνομα απομακρυσμένα μηχανήματα ειδικών πελατών μας, όπως off site ATM’s τραπεζών ή άλλων παραπλήσιων τερματικών διατάξεων</t>
  </si>
  <si>
    <t>Υλοποίηση υποδομής FTTH με χρήση κουπονιού Smart Readiness με ένα τουλάχιστον Smart Point &amp; Εγκαταστάτη την CTS με υπογραφή από τον Εργολάβο</t>
  </si>
  <si>
    <t>Υλοποίηση υποδομής FTTH με χρήση κουπονιού Smart Readiness με ένα τουλάχιστον Smart Point &amp; Εγκαταστάτη την CTS χωρίς υπογραφή από τον Εργολάβο</t>
  </si>
  <si>
    <t>Τοποθέτηση αυτοστήρικτων εναερίων οπτικών καλωδίων (ADSS)  οποιασδήποτε χωρητικότητας με τη χρήση ειδικών στηριγμάτων ανάρτησης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</si>
</sst>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3" x14ac:knownFonts="1">
    <font>
      <sz val="10"/>
      <name val="Arial"/>
      <charset val="161"/>
    </font>
    <font>
      <sz val="10"/>
      <name val="Arial"/>
      <family val="2"/>
      <charset val="161"/>
    </font>
    <font>
      <b/>
      <sz val="9"/>
      <name val="Calibri"/>
      <family val="2"/>
      <charset val="161"/>
      <scheme val="minor"/>
    </font>
    <font>
      <sz val="8"/>
      <name val="Calibri"/>
      <family val="2"/>
      <charset val="161"/>
      <scheme val="minor"/>
    </font>
    <font>
      <b/>
      <sz val="8"/>
      <name val="Calibri"/>
      <family val="2"/>
      <charset val="161"/>
      <scheme val="minor"/>
    </font>
    <font>
      <sz val="9"/>
      <name val="Arial"/>
      <family val="2"/>
    </font>
    <font>
      <sz val="9"/>
      <name val="Calibri"/>
      <family val="2"/>
      <charset val="161"/>
      <scheme val="minor"/>
    </font>
    <font>
      <sz val="10"/>
      <name val="Arial Greek"/>
    </font>
    <font>
      <sz val="10"/>
      <name val="Calibri"/>
      <family val="2"/>
      <charset val="161"/>
      <scheme val="minor"/>
    </font>
    <font>
      <b/>
      <sz val="9"/>
      <color theme="1"/>
      <name val="Calibri"/>
      <family val="2"/>
      <charset val="161"/>
      <scheme val="minor"/>
    </font>
    <font>
      <sz val="8"/>
      <name val="Calibri"/>
      <family val="2"/>
      <scheme val="minor"/>
    </font>
    <font>
      <sz val="10"/>
      <name val="Arial Greek"/>
      <charset val="161"/>
    </font>
    <font>
      <sz val="8"/>
      <name val="Arial"/>
      <family val="2"/>
      <charset val="161"/>
    </font>
  </fonts>
  <fills count="1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4" tint="0.39997558519241921"/>
        <bgColor indexed="64"/>
      </patternFill>
    </fill>
  </fills>
  <borders count="57">
    <border>
      <left/>
      <right/>
      <top/>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double">
        <color indexed="64"/>
      </right>
      <top style="double">
        <color indexed="64"/>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bottom style="thin">
        <color indexed="64"/>
      </bottom>
      <diagonal/>
    </border>
    <border>
      <left style="double">
        <color indexed="64"/>
      </left>
      <right style="thin">
        <color indexed="64"/>
      </right>
      <top style="thin">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style="double">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5">
    <xf numFmtId="0" fontId="0" fillId="0" borderId="0"/>
    <xf numFmtId="0" fontId="1" fillId="0" borderId="0"/>
    <xf numFmtId="0" fontId="7" fillId="0" borderId="0"/>
    <xf numFmtId="0" fontId="1" fillId="0" borderId="0"/>
    <xf numFmtId="0" fontId="11" fillId="0" borderId="0"/>
  </cellStyleXfs>
  <cellXfs count="199">
    <xf numFmtId="0" fontId="0" fillId="0" borderId="0" xfId="0"/>
    <xf numFmtId="0" fontId="5" fillId="0" borderId="0" xfId="0" applyFont="1"/>
    <xf numFmtId="0" fontId="5" fillId="3" borderId="0" xfId="0" applyFont="1" applyFill="1"/>
    <xf numFmtId="0" fontId="0" fillId="3" borderId="0" xfId="0" applyFill="1"/>
    <xf numFmtId="0" fontId="3" fillId="2" borderId="3" xfId="0" applyFont="1" applyFill="1" applyBorder="1" applyAlignment="1">
      <alignment horizontal="center" vertical="center" wrapText="1"/>
    </xf>
    <xf numFmtId="0" fontId="3" fillId="2" borderId="3" xfId="0" applyFont="1" applyFill="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6" fillId="0" borderId="0" xfId="0" applyFont="1" applyAlignment="1">
      <alignment horizontal="center"/>
    </xf>
    <xf numFmtId="0" fontId="6" fillId="0" borderId="0" xfId="0" applyFont="1"/>
    <xf numFmtId="0" fontId="6" fillId="0" borderId="0" xfId="0" applyFont="1" applyAlignment="1">
      <alignment horizontal="center" vertical="center"/>
    </xf>
    <xf numFmtId="0" fontId="8" fillId="0" borderId="0" xfId="0" applyFont="1" applyAlignment="1">
      <alignment horizontal="center"/>
    </xf>
    <xf numFmtId="0" fontId="8" fillId="0" borderId="0" xfId="0" applyFont="1"/>
    <xf numFmtId="0" fontId="2" fillId="4" borderId="8" xfId="1" applyFont="1" applyFill="1" applyBorder="1" applyAlignment="1">
      <alignment horizontal="center" vertical="center" wrapText="1"/>
    </xf>
    <xf numFmtId="0" fontId="2" fillId="4" borderId="2" xfId="1" applyFont="1" applyFill="1" applyBorder="1" applyAlignment="1">
      <alignment horizontal="center" vertical="center" wrapText="1"/>
    </xf>
    <xf numFmtId="0" fontId="2" fillId="4" borderId="10" xfId="1" applyFont="1" applyFill="1" applyBorder="1" applyAlignment="1">
      <alignment horizontal="center" vertical="center"/>
    </xf>
    <xf numFmtId="0" fontId="2" fillId="4" borderId="7" xfId="1" applyFont="1" applyFill="1" applyBorder="1" applyAlignment="1">
      <alignment horizontal="center" vertical="center" wrapText="1"/>
    </xf>
    <xf numFmtId="0" fontId="10" fillId="2" borderId="3" xfId="0" applyFont="1" applyFill="1" applyBorder="1" applyAlignment="1">
      <alignment horizontal="center"/>
    </xf>
    <xf numFmtId="0" fontId="8" fillId="3" borderId="17" xfId="0" applyFont="1" applyFill="1" applyBorder="1" applyAlignment="1">
      <alignment horizontal="center" vertical="center"/>
    </xf>
    <xf numFmtId="0" fontId="4" fillId="2" borderId="23" xfId="0" applyFont="1" applyFill="1" applyBorder="1" applyAlignment="1">
      <alignment horizontal="center" vertical="center" wrapText="1"/>
    </xf>
    <xf numFmtId="0" fontId="4" fillId="3" borderId="24" xfId="0" applyFont="1" applyFill="1" applyBorder="1" applyAlignment="1" applyProtection="1">
      <alignment horizontal="center" vertical="center" wrapText="1"/>
      <protection locked="0"/>
    </xf>
    <xf numFmtId="0" fontId="4" fillId="3" borderId="28" xfId="0" applyFont="1" applyFill="1" applyBorder="1" applyAlignment="1" applyProtection="1">
      <alignment horizontal="center" vertical="center" wrapText="1"/>
      <protection locked="0"/>
    </xf>
    <xf numFmtId="0" fontId="2" fillId="4" borderId="11" xfId="1" applyFont="1" applyFill="1" applyBorder="1" applyAlignment="1">
      <alignment horizontal="center" vertical="center" wrapText="1"/>
    </xf>
    <xf numFmtId="0" fontId="2" fillId="4" borderId="19" xfId="1" applyFont="1" applyFill="1" applyBorder="1" applyAlignment="1">
      <alignment horizontal="center" vertical="center" wrapText="1"/>
    </xf>
    <xf numFmtId="0" fontId="2" fillId="2" borderId="23" xfId="0" applyFont="1" applyFill="1" applyBorder="1" applyAlignment="1">
      <alignment horizontal="center" vertical="center"/>
    </xf>
    <xf numFmtId="0" fontId="2" fillId="2" borderId="35"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26" xfId="0" applyFont="1" applyFill="1" applyBorder="1" applyAlignment="1">
      <alignment horizontal="center" vertical="center"/>
    </xf>
    <xf numFmtId="0" fontId="2" fillId="2" borderId="37" xfId="0" applyFont="1" applyFill="1" applyBorder="1" applyAlignment="1">
      <alignment horizontal="center" vertical="center"/>
    </xf>
    <xf numFmtId="0" fontId="4" fillId="2" borderId="41" xfId="0" applyFont="1" applyFill="1" applyBorder="1" applyAlignment="1">
      <alignment vertical="center" wrapText="1"/>
    </xf>
    <xf numFmtId="0" fontId="3" fillId="0" borderId="42" xfId="0" applyFont="1" applyBorder="1" applyAlignment="1" applyProtection="1">
      <alignment horizontal="center" vertical="center" wrapText="1"/>
      <protection locked="0"/>
    </xf>
    <xf numFmtId="0" fontId="3" fillId="0" borderId="43" xfId="0" applyFont="1" applyBorder="1" applyAlignment="1" applyProtection="1">
      <alignment horizontal="center" vertical="center" wrapText="1"/>
      <protection locked="0"/>
    </xf>
    <xf numFmtId="0" fontId="2" fillId="2" borderId="44" xfId="0" applyFont="1" applyFill="1" applyBorder="1" applyAlignment="1">
      <alignment horizontal="center" vertical="center"/>
    </xf>
    <xf numFmtId="0" fontId="10" fillId="2" borderId="3" xfId="0" applyFont="1" applyFill="1" applyBorder="1" applyAlignment="1">
      <alignment horizontal="center" vertical="center" wrapText="1"/>
    </xf>
    <xf numFmtId="0" fontId="6" fillId="0" borderId="49" xfId="0" applyFont="1" applyBorder="1" applyAlignment="1">
      <alignment horizontal="left" vertical="center"/>
    </xf>
    <xf numFmtId="0" fontId="6" fillId="0" borderId="52" xfId="0" applyFont="1" applyBorder="1" applyAlignment="1">
      <alignment horizontal="left" vertical="center"/>
    </xf>
    <xf numFmtId="0" fontId="6" fillId="0" borderId="34" xfId="0" applyFont="1" applyBorder="1" applyAlignment="1">
      <alignment horizontal="left" vertical="center"/>
    </xf>
    <xf numFmtId="0" fontId="6" fillId="0" borderId="14" xfId="0" applyFont="1" applyBorder="1" applyAlignment="1">
      <alignment horizontal="left" vertical="center"/>
    </xf>
    <xf numFmtId="0" fontId="6" fillId="0" borderId="18" xfId="0" applyFont="1" applyBorder="1" applyAlignment="1">
      <alignment horizontal="left" vertical="center"/>
    </xf>
    <xf numFmtId="0" fontId="6" fillId="0" borderId="7" xfId="0" applyFont="1" applyBorder="1" applyAlignment="1">
      <alignment horizontal="left" vertical="center"/>
    </xf>
    <xf numFmtId="0" fontId="6" fillId="0" borderId="3" xfId="0" applyFont="1" applyBorder="1" applyAlignment="1">
      <alignment horizontal="left" vertical="center"/>
    </xf>
    <xf numFmtId="0" fontId="6" fillId="0" borderId="21" xfId="0" applyFont="1" applyBorder="1" applyAlignment="1">
      <alignment horizontal="left" vertical="center"/>
    </xf>
    <xf numFmtId="0" fontId="6" fillId="0" borderId="31" xfId="0" applyFont="1" applyBorder="1" applyAlignment="1">
      <alignment horizontal="left" vertical="center"/>
    </xf>
    <xf numFmtId="0" fontId="6" fillId="0" borderId="38" xfId="0" applyFont="1" applyBorder="1" applyAlignment="1">
      <alignment horizontal="left" vertical="center"/>
    </xf>
    <xf numFmtId="0" fontId="6" fillId="0" borderId="51" xfId="0" applyFont="1" applyBorder="1" applyAlignment="1">
      <alignment horizontal="left" vertical="center"/>
    </xf>
    <xf numFmtId="0" fontId="6" fillId="0" borderId="27" xfId="0" applyFont="1" applyBorder="1" applyAlignment="1">
      <alignment horizontal="left" vertical="center"/>
    </xf>
    <xf numFmtId="0" fontId="6" fillId="0" borderId="5" xfId="0" applyFont="1" applyBorder="1" applyAlignment="1">
      <alignment horizontal="left" vertical="center"/>
    </xf>
    <xf numFmtId="0" fontId="6" fillId="0" borderId="48" xfId="0" applyFont="1" applyBorder="1" applyAlignment="1">
      <alignment horizontal="left" vertical="center"/>
    </xf>
    <xf numFmtId="0" fontId="6" fillId="0" borderId="1" xfId="0" applyFont="1" applyBorder="1" applyAlignment="1">
      <alignment horizontal="left" vertical="center"/>
    </xf>
    <xf numFmtId="0" fontId="6" fillId="0" borderId="50" xfId="0" applyFont="1" applyBorder="1" applyAlignment="1">
      <alignment horizontal="left" vertical="center"/>
    </xf>
    <xf numFmtId="0" fontId="6" fillId="0" borderId="52" xfId="0" applyFont="1" applyBorder="1" applyAlignment="1">
      <alignment vertical="center" wrapText="1"/>
    </xf>
    <xf numFmtId="0" fontId="6" fillId="0" borderId="34" xfId="0" applyFont="1" applyBorder="1" applyAlignment="1">
      <alignment vertical="center" wrapText="1"/>
    </xf>
    <xf numFmtId="0" fontId="6" fillId="0" borderId="46" xfId="0" applyFont="1" applyBorder="1" applyAlignment="1">
      <alignment horizontal="left" vertical="center"/>
    </xf>
    <xf numFmtId="0" fontId="6" fillId="0" borderId="54" xfId="0" applyFont="1" applyBorder="1" applyAlignment="1">
      <alignment horizontal="left" vertical="center"/>
    </xf>
    <xf numFmtId="0" fontId="2" fillId="4" borderId="35"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36"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1" xfId="0" applyFont="1" applyFill="1" applyBorder="1" applyAlignment="1">
      <alignment horizontal="center" vertical="center"/>
    </xf>
    <xf numFmtId="0" fontId="4" fillId="3" borderId="22" xfId="0" applyFont="1" applyFill="1" applyBorder="1" applyAlignment="1" applyProtection="1">
      <alignment horizontal="center" vertical="center" wrapText="1"/>
      <protection locked="0"/>
    </xf>
    <xf numFmtId="0" fontId="2" fillId="3" borderId="3" xfId="1" applyFont="1" applyFill="1" applyBorder="1" applyAlignment="1" applyProtection="1">
      <alignment horizontal="center" vertical="center" wrapText="1"/>
      <protection locked="0" hidden="1"/>
    </xf>
    <xf numFmtId="0" fontId="2" fillId="3" borderId="5" xfId="1" applyFont="1" applyFill="1" applyBorder="1" applyAlignment="1" applyProtection="1">
      <alignment horizontal="center" vertical="center" wrapText="1"/>
      <protection locked="0" hidden="1"/>
    </xf>
    <xf numFmtId="0" fontId="2" fillId="0" borderId="22" xfId="0" applyFont="1" applyBorder="1" applyAlignment="1" applyProtection="1">
      <alignment horizontal="center"/>
      <protection locked="0"/>
    </xf>
    <xf numFmtId="0" fontId="2" fillId="0" borderId="24" xfId="0" applyFont="1" applyBorder="1" applyAlignment="1" applyProtection="1">
      <alignment horizontal="center"/>
      <protection locked="0"/>
    </xf>
    <xf numFmtId="0" fontId="2" fillId="0" borderId="28" xfId="0" applyFont="1" applyBorder="1" applyAlignment="1" applyProtection="1">
      <alignment horizontal="center"/>
      <protection locked="0"/>
    </xf>
    <xf numFmtId="0" fontId="2" fillId="0" borderId="39" xfId="0" applyFont="1" applyBorder="1" applyAlignment="1" applyProtection="1">
      <alignment horizontal="center"/>
      <protection locked="0"/>
    </xf>
    <xf numFmtId="0" fontId="2" fillId="0" borderId="25" xfId="0" applyFont="1" applyBorder="1" applyAlignment="1" applyProtection="1">
      <alignment horizontal="center"/>
      <protection locked="0"/>
    </xf>
    <xf numFmtId="0" fontId="2" fillId="0" borderId="36" xfId="0" applyFont="1" applyBorder="1" applyAlignment="1" applyProtection="1">
      <alignment horizontal="center"/>
      <protection locked="0"/>
    </xf>
    <xf numFmtId="0" fontId="2" fillId="0" borderId="47" xfId="0" applyFont="1" applyBorder="1" applyAlignment="1" applyProtection="1">
      <alignment horizontal="center"/>
      <protection locked="0"/>
    </xf>
    <xf numFmtId="164" fontId="2" fillId="3" borderId="3" xfId="1" applyNumberFormat="1" applyFont="1" applyFill="1" applyBorder="1" applyAlignment="1" applyProtection="1">
      <alignment horizontal="center" vertical="center" wrapText="1"/>
      <protection locked="0" hidden="1"/>
    </xf>
    <xf numFmtId="0" fontId="2" fillId="5" borderId="23" xfId="0" applyFont="1" applyFill="1" applyBorder="1" applyAlignment="1">
      <alignment horizontal="center" vertical="center"/>
    </xf>
    <xf numFmtId="0" fontId="2" fillId="5" borderId="24" xfId="0" applyFont="1" applyFill="1" applyBorder="1" applyAlignment="1" applyProtection="1">
      <alignment horizontal="center"/>
      <protection locked="0"/>
    </xf>
    <xf numFmtId="0" fontId="2" fillId="5" borderId="28" xfId="0" applyFont="1" applyFill="1" applyBorder="1" applyAlignment="1" applyProtection="1">
      <alignment horizontal="center"/>
      <protection locked="0"/>
    </xf>
    <xf numFmtId="0" fontId="6" fillId="5" borderId="3" xfId="0" applyFont="1" applyFill="1" applyBorder="1" applyAlignment="1">
      <alignment horizontal="left" vertical="center"/>
    </xf>
    <xf numFmtId="0" fontId="2" fillId="5" borderId="26" xfId="0" applyFont="1" applyFill="1" applyBorder="1" applyAlignment="1">
      <alignment horizontal="center" vertical="center"/>
    </xf>
    <xf numFmtId="0" fontId="6" fillId="5" borderId="27" xfId="0" applyFont="1" applyFill="1" applyBorder="1" applyAlignment="1">
      <alignment horizontal="left" vertical="center"/>
    </xf>
    <xf numFmtId="0" fontId="2" fillId="6" borderId="20" xfId="0" applyFont="1" applyFill="1" applyBorder="1" applyAlignment="1">
      <alignment horizontal="center" vertical="center"/>
    </xf>
    <xf numFmtId="0" fontId="2" fillId="6" borderId="22" xfId="0" applyFont="1" applyFill="1" applyBorder="1" applyAlignment="1" applyProtection="1">
      <alignment horizontal="center"/>
      <protection locked="0"/>
    </xf>
    <xf numFmtId="0" fontId="2" fillId="6" borderId="23" xfId="0" applyFont="1" applyFill="1" applyBorder="1" applyAlignment="1">
      <alignment horizontal="center" vertical="center"/>
    </xf>
    <xf numFmtId="0" fontId="2" fillId="6" borderId="24" xfId="0" applyFont="1" applyFill="1" applyBorder="1" applyAlignment="1" applyProtection="1">
      <alignment horizontal="center"/>
      <protection locked="0"/>
    </xf>
    <xf numFmtId="0" fontId="2" fillId="5" borderId="36" xfId="0" applyFont="1" applyFill="1" applyBorder="1" applyAlignment="1" applyProtection="1">
      <alignment horizontal="center"/>
      <protection locked="0"/>
    </xf>
    <xf numFmtId="0" fontId="2" fillId="7" borderId="22" xfId="0" applyFont="1" applyFill="1" applyBorder="1" applyAlignment="1" applyProtection="1">
      <alignment horizontal="center"/>
      <protection locked="0"/>
    </xf>
    <xf numFmtId="0" fontId="2" fillId="7" borderId="24" xfId="0" applyFont="1" applyFill="1" applyBorder="1" applyAlignment="1" applyProtection="1">
      <alignment horizontal="center"/>
      <protection locked="0"/>
    </xf>
    <xf numFmtId="0" fontId="2" fillId="7" borderId="28" xfId="0" applyFont="1" applyFill="1" applyBorder="1" applyAlignment="1" applyProtection="1">
      <alignment horizontal="center"/>
      <protection locked="0"/>
    </xf>
    <xf numFmtId="0" fontId="2" fillId="8" borderId="22" xfId="0" applyFont="1" applyFill="1" applyBorder="1" applyAlignment="1" applyProtection="1">
      <alignment horizontal="center"/>
      <protection locked="0"/>
    </xf>
    <xf numFmtId="0" fontId="6" fillId="8" borderId="3" xfId="0" applyFont="1" applyFill="1" applyBorder="1" applyAlignment="1">
      <alignment horizontal="left" vertical="center"/>
    </xf>
    <xf numFmtId="0" fontId="2" fillId="8" borderId="24" xfId="0" applyFont="1" applyFill="1" applyBorder="1" applyAlignment="1" applyProtection="1">
      <alignment horizontal="center"/>
      <protection locked="0"/>
    </xf>
    <xf numFmtId="0" fontId="6" fillId="8" borderId="27" xfId="0" applyFont="1" applyFill="1" applyBorder="1" applyAlignment="1">
      <alignment horizontal="left" vertical="center"/>
    </xf>
    <xf numFmtId="0" fontId="2" fillId="8" borderId="28" xfId="0" applyFont="1" applyFill="1" applyBorder="1" applyAlignment="1" applyProtection="1">
      <alignment horizontal="center"/>
      <protection locked="0"/>
    </xf>
    <xf numFmtId="0" fontId="4" fillId="5" borderId="2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3" xfId="0" applyFont="1" applyFill="1" applyBorder="1" applyAlignment="1">
      <alignment horizontal="center" vertical="center"/>
    </xf>
    <xf numFmtId="0" fontId="4" fillId="5" borderId="26" xfId="0" applyFont="1" applyFill="1" applyBorder="1" applyAlignment="1">
      <alignment horizontal="center" vertical="center" wrapText="1"/>
    </xf>
    <xf numFmtId="0" fontId="3" fillId="5" borderId="27" xfId="0" applyFont="1" applyFill="1" applyBorder="1" applyAlignment="1">
      <alignment horizontal="center" vertical="center" wrapText="1"/>
    </xf>
    <xf numFmtId="0" fontId="3" fillId="5" borderId="27" xfId="0" applyFont="1" applyFill="1" applyBorder="1" applyAlignment="1">
      <alignment horizontal="center" vertical="center"/>
    </xf>
    <xf numFmtId="0" fontId="2" fillId="2" borderId="53" xfId="0" applyFont="1" applyFill="1" applyBorder="1" applyAlignment="1">
      <alignment horizontal="center" vertical="center"/>
    </xf>
    <xf numFmtId="0" fontId="2" fillId="6" borderId="35" xfId="0" applyFont="1" applyFill="1" applyBorder="1" applyAlignment="1">
      <alignment horizontal="center" vertical="center"/>
    </xf>
    <xf numFmtId="0" fontId="2" fillId="6" borderId="36" xfId="0" applyFont="1" applyFill="1" applyBorder="1" applyAlignment="1" applyProtection="1">
      <alignment horizontal="center"/>
      <protection locked="0"/>
    </xf>
    <xf numFmtId="0" fontId="6" fillId="8" borderId="1" xfId="0" applyFont="1" applyFill="1" applyBorder="1" applyAlignment="1">
      <alignment horizontal="left" vertical="center"/>
    </xf>
    <xf numFmtId="0" fontId="2" fillId="8" borderId="25" xfId="0" applyFont="1" applyFill="1" applyBorder="1" applyAlignment="1" applyProtection="1">
      <alignment horizontal="center"/>
      <protection locked="0"/>
    </xf>
    <xf numFmtId="0" fontId="2" fillId="9" borderId="22" xfId="0" applyFont="1" applyFill="1" applyBorder="1" applyAlignment="1" applyProtection="1">
      <alignment horizontal="center"/>
      <protection locked="0"/>
    </xf>
    <xf numFmtId="0" fontId="2" fillId="9" borderId="28" xfId="0" applyFont="1" applyFill="1" applyBorder="1" applyAlignment="1" applyProtection="1">
      <alignment horizontal="center"/>
      <protection locked="0"/>
    </xf>
    <xf numFmtId="0" fontId="6" fillId="8" borderId="14" xfId="0" applyFont="1" applyFill="1" applyBorder="1" applyAlignment="1">
      <alignment horizontal="left" vertical="center"/>
    </xf>
    <xf numFmtId="0" fontId="6" fillId="8" borderId="18" xfId="0" applyFont="1" applyFill="1" applyBorder="1" applyAlignment="1">
      <alignment horizontal="left" vertical="center"/>
    </xf>
    <xf numFmtId="0" fontId="6" fillId="8" borderId="7" xfId="0" applyFont="1" applyFill="1" applyBorder="1" applyAlignment="1">
      <alignment horizontal="left" vertical="center"/>
    </xf>
    <xf numFmtId="0" fontId="6" fillId="8" borderId="49" xfId="0" applyFont="1" applyFill="1" applyBorder="1" applyAlignment="1">
      <alignment horizontal="left" vertical="center"/>
    </xf>
    <xf numFmtId="0" fontId="6" fillId="8" borderId="52" xfId="0" applyFont="1" applyFill="1" applyBorder="1" applyAlignment="1">
      <alignment horizontal="left" vertical="center"/>
    </xf>
    <xf numFmtId="0" fontId="6" fillId="8" borderId="34" xfId="0" applyFont="1" applyFill="1" applyBorder="1" applyAlignment="1">
      <alignment horizontal="left" vertical="center"/>
    </xf>
    <xf numFmtId="0" fontId="6" fillId="7" borderId="21" xfId="0" applyFont="1" applyFill="1" applyBorder="1" applyAlignment="1">
      <alignment vertical="center"/>
    </xf>
    <xf numFmtId="0" fontId="6" fillId="7" borderId="21" xfId="0" applyFont="1" applyFill="1" applyBorder="1" applyAlignment="1">
      <alignment vertical="center" wrapText="1"/>
    </xf>
    <xf numFmtId="0" fontId="6" fillId="7" borderId="3" xfId="0" applyFont="1" applyFill="1" applyBorder="1" applyAlignment="1">
      <alignment vertical="center"/>
    </xf>
    <xf numFmtId="0" fontId="6" fillId="7" borderId="3" xfId="0" applyFont="1" applyFill="1" applyBorder="1" applyAlignment="1">
      <alignment vertical="center" wrapText="1"/>
    </xf>
    <xf numFmtId="0" fontId="6" fillId="0" borderId="31" xfId="0" applyFont="1" applyBorder="1" applyAlignment="1">
      <alignment horizontal="left" vertical="center"/>
    </xf>
    <xf numFmtId="0" fontId="6" fillId="0" borderId="40" xfId="0" applyFont="1" applyBorder="1" applyAlignment="1">
      <alignment horizontal="left" vertical="center"/>
    </xf>
    <xf numFmtId="0" fontId="6" fillId="0" borderId="30" xfId="0" applyFont="1" applyBorder="1" applyAlignment="1">
      <alignment horizontal="left" vertical="center"/>
    </xf>
    <xf numFmtId="0" fontId="6" fillId="5" borderId="14" xfId="0" applyFont="1" applyFill="1" applyBorder="1" applyAlignment="1">
      <alignment horizontal="left" vertical="center" wrapText="1"/>
    </xf>
    <xf numFmtId="0" fontId="6" fillId="5" borderId="18" xfId="0" applyFont="1" applyFill="1" applyBorder="1" applyAlignment="1">
      <alignment horizontal="left" vertical="center" wrapText="1"/>
    </xf>
    <xf numFmtId="0" fontId="6" fillId="5" borderId="7" xfId="0" applyFont="1" applyFill="1" applyBorder="1" applyAlignment="1">
      <alignment horizontal="left" vertical="center" wrapText="1"/>
    </xf>
    <xf numFmtId="0" fontId="6" fillId="5" borderId="49" xfId="0" applyFont="1" applyFill="1" applyBorder="1" applyAlignment="1">
      <alignment horizontal="left" vertical="center" wrapText="1"/>
    </xf>
    <xf numFmtId="0" fontId="6" fillId="5" borderId="52" xfId="0" applyFont="1" applyFill="1" applyBorder="1" applyAlignment="1">
      <alignment horizontal="left" vertical="center" wrapText="1"/>
    </xf>
    <xf numFmtId="0" fontId="6" fillId="5" borderId="34" xfId="0" applyFont="1" applyFill="1" applyBorder="1" applyAlignment="1">
      <alignment horizontal="left" vertical="center" wrapText="1"/>
    </xf>
    <xf numFmtId="0" fontId="6" fillId="0" borderId="31" xfId="0" applyFont="1" applyBorder="1" applyAlignment="1">
      <alignment horizontal="left" vertical="center" wrapText="1"/>
    </xf>
    <xf numFmtId="0" fontId="6" fillId="0" borderId="40" xfId="0" applyFont="1" applyBorder="1" applyAlignment="1">
      <alignment horizontal="left" vertical="center" wrapText="1"/>
    </xf>
    <xf numFmtId="0" fontId="6" fillId="0" borderId="30" xfId="0" applyFont="1" applyBorder="1" applyAlignment="1">
      <alignment horizontal="left" vertical="center" wrapText="1"/>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0" borderId="14" xfId="0" applyFont="1" applyBorder="1" applyAlignment="1" applyProtection="1">
      <alignment horizontal="center" vertical="center" wrapText="1"/>
      <protection locked="0"/>
    </xf>
    <xf numFmtId="0" fontId="3" fillId="0" borderId="18" xfId="0" applyFont="1" applyBorder="1" applyAlignment="1" applyProtection="1">
      <alignment horizontal="center" vertical="center" wrapText="1"/>
      <protection locked="0"/>
    </xf>
    <xf numFmtId="0" fontId="4" fillId="4" borderId="20"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6" fillId="0" borderId="49" xfId="0" applyFont="1" applyBorder="1" applyAlignment="1">
      <alignment horizontal="left" vertical="center" wrapText="1"/>
    </xf>
    <xf numFmtId="0" fontId="6" fillId="0" borderId="52" xfId="0" applyFont="1" applyBorder="1" applyAlignment="1">
      <alignment horizontal="left" vertical="center" wrapText="1"/>
    </xf>
    <xf numFmtId="0" fontId="6" fillId="0" borderId="34" xfId="0" applyFont="1" applyBorder="1" applyAlignment="1">
      <alignment horizontal="left" vertical="center" wrapText="1"/>
    </xf>
    <xf numFmtId="0" fontId="2" fillId="3" borderId="5" xfId="1" applyFont="1" applyFill="1" applyBorder="1" applyAlignment="1" applyProtection="1">
      <alignment horizontal="center" vertical="center" wrapText="1"/>
      <protection locked="0" hidden="1"/>
    </xf>
    <xf numFmtId="0" fontId="6" fillId="0" borderId="14" xfId="0" applyFont="1" applyBorder="1" applyAlignment="1">
      <alignment horizontal="left" vertical="center" wrapText="1"/>
    </xf>
    <xf numFmtId="0" fontId="6" fillId="0" borderId="18" xfId="0" applyFont="1" applyBorder="1" applyAlignment="1">
      <alignment horizontal="left" vertical="center" wrapText="1"/>
    </xf>
    <xf numFmtId="0" fontId="6" fillId="0" borderId="7" xfId="0" applyFont="1" applyBorder="1" applyAlignment="1">
      <alignment horizontal="left" vertical="center" wrapText="1"/>
    </xf>
    <xf numFmtId="0" fontId="6" fillId="5" borderId="3" xfId="0" applyFont="1" applyFill="1" applyBorder="1" applyAlignment="1">
      <alignment horizontal="left" vertical="center" wrapText="1"/>
    </xf>
    <xf numFmtId="0" fontId="6" fillId="0" borderId="21" xfId="0" applyFont="1" applyBorder="1" applyAlignment="1">
      <alignment horizontal="left" vertical="center"/>
    </xf>
    <xf numFmtId="0" fontId="3"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6" fillId="0" borderId="3" xfId="0" applyFont="1" applyBorder="1" applyAlignment="1">
      <alignment horizontal="left" vertical="center"/>
    </xf>
    <xf numFmtId="0" fontId="6" fillId="0" borderId="14" xfId="0" applyFont="1" applyBorder="1" applyAlignment="1">
      <alignment horizontal="left" vertical="center"/>
    </xf>
    <xf numFmtId="0" fontId="6" fillId="0" borderId="27" xfId="0" applyFont="1" applyBorder="1" applyAlignment="1">
      <alignment horizontal="left" vertical="center"/>
    </xf>
    <xf numFmtId="0" fontId="6" fillId="0" borderId="49" xfId="0" applyFont="1" applyBorder="1" applyAlignment="1">
      <alignment horizontal="left" vertical="center"/>
    </xf>
    <xf numFmtId="0" fontId="6" fillId="0" borderId="52" xfId="0" applyFont="1" applyBorder="1" applyAlignment="1">
      <alignment horizontal="left" vertical="center"/>
    </xf>
    <xf numFmtId="0" fontId="6" fillId="0" borderId="34" xfId="0" applyFont="1" applyBorder="1" applyAlignment="1">
      <alignment horizontal="left" vertical="center"/>
    </xf>
    <xf numFmtId="0" fontId="6" fillId="0" borderId="18" xfId="0" applyFont="1" applyBorder="1" applyAlignment="1">
      <alignment horizontal="left" vertical="center"/>
    </xf>
    <xf numFmtId="0" fontId="6" fillId="0" borderId="7" xfId="0" applyFont="1" applyBorder="1" applyAlignment="1">
      <alignment horizontal="left" vertical="center"/>
    </xf>
    <xf numFmtId="0" fontId="2" fillId="4" borderId="12" xfId="1" applyFont="1" applyFill="1" applyBorder="1" applyAlignment="1">
      <alignment horizontal="center" vertical="center" wrapText="1"/>
    </xf>
    <xf numFmtId="0" fontId="2" fillId="4" borderId="13" xfId="1" applyFont="1" applyFill="1" applyBorder="1" applyAlignment="1">
      <alignment horizontal="center" vertical="center" wrapText="1"/>
    </xf>
    <xf numFmtId="0" fontId="2" fillId="4" borderId="45" xfId="1" applyFont="1" applyFill="1" applyBorder="1" applyAlignment="1">
      <alignment horizontal="center" vertical="center" wrapText="1"/>
    </xf>
    <xf numFmtId="0" fontId="2" fillId="4" borderId="20" xfId="0" applyFont="1" applyFill="1" applyBorder="1" applyAlignment="1">
      <alignment horizontal="center" vertical="center" wrapText="1"/>
    </xf>
    <xf numFmtId="0" fontId="9" fillId="4" borderId="35" xfId="0" applyFont="1" applyFill="1" applyBorder="1" applyAlignment="1">
      <alignment horizontal="center" vertical="center"/>
    </xf>
    <xf numFmtId="0" fontId="2" fillId="4" borderId="2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22" xfId="0" applyFont="1" applyFill="1" applyBorder="1" applyAlignment="1">
      <alignment horizontal="center" vertical="center" wrapText="1"/>
    </xf>
    <xf numFmtId="0" fontId="2" fillId="4" borderId="36" xfId="0" applyFont="1" applyFill="1" applyBorder="1" applyAlignment="1">
      <alignment horizontal="center" vertical="center" wrapText="1"/>
    </xf>
    <xf numFmtId="0" fontId="2" fillId="3" borderId="3" xfId="1" applyFont="1" applyFill="1" applyBorder="1" applyAlignment="1" applyProtection="1">
      <alignment horizontal="center" vertical="center" wrapText="1"/>
      <protection locked="0"/>
    </xf>
    <xf numFmtId="0" fontId="2" fillId="3" borderId="4" xfId="1" applyFont="1" applyFill="1" applyBorder="1" applyAlignment="1" applyProtection="1">
      <alignment horizontal="center" vertical="center" wrapText="1"/>
      <protection locked="0"/>
    </xf>
    <xf numFmtId="0" fontId="2" fillId="3" borderId="3" xfId="1" applyFont="1" applyFill="1" applyBorder="1" applyAlignment="1" applyProtection="1">
      <alignment horizontal="center" vertical="center" wrapText="1"/>
      <protection locked="0" hidden="1"/>
    </xf>
    <xf numFmtId="0" fontId="2" fillId="2" borderId="9" xfId="1" applyFont="1" applyFill="1" applyBorder="1" applyAlignment="1">
      <alignment horizontal="center" vertical="center" wrapText="1"/>
    </xf>
    <xf numFmtId="0" fontId="2" fillId="4" borderId="9" xfId="1" applyFont="1" applyFill="1" applyBorder="1" applyAlignment="1">
      <alignment horizontal="center" vertical="center" wrapText="1"/>
    </xf>
    <xf numFmtId="0" fontId="2" fillId="4" borderId="6"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3" borderId="3" xfId="1" applyFont="1" applyFill="1" applyBorder="1" applyAlignment="1">
      <alignment horizontal="center" vertical="center" wrapText="1"/>
    </xf>
    <xf numFmtId="0" fontId="2" fillId="3" borderId="4" xfId="1" applyFont="1" applyFill="1" applyBorder="1" applyAlignment="1">
      <alignment horizontal="center" vertical="center" wrapText="1"/>
    </xf>
    <xf numFmtId="0" fontId="6" fillId="9" borderId="49" xfId="0" applyFont="1" applyFill="1" applyBorder="1" applyAlignment="1">
      <alignment horizontal="left" vertical="center" wrapText="1"/>
    </xf>
    <xf numFmtId="0" fontId="6" fillId="9" borderId="52" xfId="0" applyFont="1" applyFill="1" applyBorder="1" applyAlignment="1">
      <alignment horizontal="left" vertical="center" wrapText="1"/>
    </xf>
    <xf numFmtId="0" fontId="6" fillId="9" borderId="34" xfId="0" applyFont="1" applyFill="1" applyBorder="1" applyAlignment="1">
      <alignment horizontal="left" vertical="center" wrapText="1"/>
    </xf>
    <xf numFmtId="0" fontId="6" fillId="6" borderId="14" xfId="0" applyFont="1" applyFill="1" applyBorder="1" applyAlignment="1">
      <alignment horizontal="left" vertical="center" wrapText="1"/>
    </xf>
    <xf numFmtId="0" fontId="6" fillId="6" borderId="18"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0" borderId="51" xfId="0" applyFont="1" applyBorder="1" applyAlignment="1">
      <alignment horizontal="left" vertical="center"/>
    </xf>
    <xf numFmtId="0" fontId="6" fillId="0" borderId="55" xfId="0" applyFont="1" applyBorder="1" applyAlignment="1">
      <alignment horizontal="left" vertical="center"/>
    </xf>
    <xf numFmtId="0" fontId="6" fillId="0" borderId="56" xfId="0" applyFont="1" applyBorder="1" applyAlignment="1">
      <alignment horizontal="left" vertical="center"/>
    </xf>
    <xf numFmtId="0" fontId="6" fillId="6" borderId="49" xfId="0" applyFont="1" applyFill="1" applyBorder="1" applyAlignment="1">
      <alignment horizontal="left" vertical="center" wrapText="1"/>
    </xf>
    <xf numFmtId="0" fontId="6" fillId="6" borderId="52" xfId="0" applyFont="1" applyFill="1" applyBorder="1" applyAlignment="1">
      <alignment horizontal="left" vertical="center" wrapText="1"/>
    </xf>
    <xf numFmtId="0" fontId="6" fillId="6" borderId="34" xfId="0" applyFont="1" applyFill="1" applyBorder="1" applyAlignment="1">
      <alignment horizontal="left" vertical="center" wrapText="1"/>
    </xf>
    <xf numFmtId="0" fontId="6" fillId="7" borderId="49" xfId="0" applyFont="1" applyFill="1" applyBorder="1" applyAlignment="1">
      <alignment vertical="center" wrapText="1"/>
    </xf>
    <xf numFmtId="0" fontId="6" fillId="7" borderId="52" xfId="0" applyFont="1" applyFill="1" applyBorder="1" applyAlignment="1">
      <alignment vertical="center" wrapText="1"/>
    </xf>
    <xf numFmtId="0" fontId="6" fillId="7" borderId="34" xfId="0" applyFont="1" applyFill="1" applyBorder="1" applyAlignment="1">
      <alignment vertical="center" wrapText="1"/>
    </xf>
    <xf numFmtId="0" fontId="6" fillId="9" borderId="31" xfId="0" applyFont="1" applyFill="1" applyBorder="1" applyAlignment="1">
      <alignment horizontal="left" vertical="center" wrapText="1"/>
    </xf>
    <xf numFmtId="0" fontId="6" fillId="9" borderId="40" xfId="0" applyFont="1" applyFill="1" applyBorder="1" applyAlignment="1">
      <alignment horizontal="left" vertical="center" wrapText="1"/>
    </xf>
    <xf numFmtId="0" fontId="6" fillId="9" borderId="30" xfId="0" applyFont="1" applyFill="1" applyBorder="1" applyAlignment="1">
      <alignment horizontal="left" vertical="center" wrapText="1"/>
    </xf>
    <xf numFmtId="0" fontId="6" fillId="7" borderId="14" xfId="0" applyFont="1" applyFill="1" applyBorder="1" applyAlignment="1">
      <alignment vertical="center" wrapText="1"/>
    </xf>
    <xf numFmtId="0" fontId="6" fillId="7" borderId="18" xfId="0" applyFont="1" applyFill="1" applyBorder="1" applyAlignment="1">
      <alignment vertical="center" wrapText="1"/>
    </xf>
    <xf numFmtId="0" fontId="6" fillId="7" borderId="7" xfId="0" applyFont="1" applyFill="1" applyBorder="1" applyAlignment="1">
      <alignment vertical="center" wrapText="1"/>
    </xf>
    <xf numFmtId="0" fontId="6" fillId="6" borderId="31" xfId="0" applyFont="1" applyFill="1" applyBorder="1" applyAlignment="1">
      <alignment horizontal="left" vertical="center" wrapText="1"/>
    </xf>
    <xf numFmtId="0" fontId="6" fillId="6" borderId="40" xfId="0" applyFont="1" applyFill="1" applyBorder="1" applyAlignment="1">
      <alignment horizontal="left" vertical="center" wrapText="1"/>
    </xf>
    <xf numFmtId="0" fontId="6" fillId="6" borderId="30" xfId="0" applyFont="1" applyFill="1" applyBorder="1" applyAlignment="1">
      <alignment horizontal="left" vertical="center" wrapText="1"/>
    </xf>
  </cellXfs>
  <cellStyles count="5">
    <cellStyle name="Normal" xfId="0" builtinId="0"/>
    <cellStyle name="Κανονικό 2" xfId="4" xr:uid="{00000000-0005-0000-0000-000001000000}"/>
    <cellStyle name="Κανονικό 2 2" xfId="1" xr:uid="{00000000-0005-0000-0000-000002000000}"/>
    <cellStyle name="Κανονικό 3 2" xfId="2" xr:uid="{00000000-0005-0000-0000-000003000000}"/>
    <cellStyle name="Κανονικό 98"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Φύλλο1"/>
  <dimension ref="A1:O221"/>
  <sheetViews>
    <sheetView tabSelected="1" zoomScaleNormal="100" workbookViewId="0">
      <selection activeCell="G40" sqref="G40"/>
    </sheetView>
  </sheetViews>
  <sheetFormatPr defaultRowHeight="12.75" x14ac:dyDescent="0.2"/>
  <cols>
    <col min="1" max="1" width="1.5703125" customWidth="1"/>
    <col min="2" max="2" width="9.42578125" style="11" bestFit="1" customWidth="1"/>
    <col min="3" max="3" width="25.85546875" style="11" customWidth="1"/>
    <col min="4" max="4" width="6.140625" style="11" customWidth="1"/>
    <col min="5" max="6" width="4.85546875" style="11" customWidth="1"/>
    <col min="7" max="7" width="130.28515625" style="11" customWidth="1"/>
    <col min="8" max="8" width="15" style="11" customWidth="1"/>
    <col min="9" max="9" width="2" style="12" customWidth="1"/>
    <col min="10" max="10" width="9.85546875" customWidth="1"/>
    <col min="11" max="11" width="39" bestFit="1" customWidth="1"/>
  </cols>
  <sheetData>
    <row r="1" spans="1:15" ht="3.6" customHeight="1" thickBot="1" x14ac:dyDescent="0.25">
      <c r="A1" s="3"/>
      <c r="B1"/>
      <c r="C1"/>
      <c r="D1"/>
      <c r="E1"/>
      <c r="F1"/>
      <c r="G1"/>
      <c r="H1"/>
      <c r="I1"/>
    </row>
    <row r="2" spans="1:15" ht="14.25" customHeight="1" thickTop="1" thickBot="1" x14ac:dyDescent="0.25">
      <c r="A2" s="3"/>
      <c r="B2" s="157" t="s">
        <v>0</v>
      </c>
      <c r="C2" s="158"/>
      <c r="D2" s="158"/>
      <c r="E2" s="158"/>
      <c r="F2" s="158"/>
      <c r="G2" s="158"/>
      <c r="H2" s="159"/>
      <c r="I2"/>
    </row>
    <row r="3" spans="1:15" ht="22.5" customHeight="1" thickTop="1" x14ac:dyDescent="0.2">
      <c r="A3" s="3"/>
      <c r="B3" s="13" t="s">
        <v>1</v>
      </c>
      <c r="C3" s="169" t="s">
        <v>2</v>
      </c>
      <c r="D3" s="169"/>
      <c r="E3" s="170" t="s">
        <v>3</v>
      </c>
      <c r="F3" s="171"/>
      <c r="G3" s="15" t="s">
        <v>4</v>
      </c>
      <c r="H3" s="61"/>
      <c r="I3"/>
      <c r="J3" s="127" t="s">
        <v>57</v>
      </c>
      <c r="K3" s="128"/>
      <c r="L3" s="129" t="s">
        <v>52</v>
      </c>
      <c r="M3" s="130"/>
      <c r="N3" s="29" t="s">
        <v>138</v>
      </c>
    </row>
    <row r="4" spans="1:15" ht="21" customHeight="1" x14ac:dyDescent="0.2">
      <c r="A4" s="3"/>
      <c r="B4" s="14" t="s">
        <v>5</v>
      </c>
      <c r="C4" s="172" t="s">
        <v>6</v>
      </c>
      <c r="D4" s="172"/>
      <c r="E4" s="173" t="str">
        <f>IF(C5="EDIL","A",IF(C5="ΕΡΓΑΤΗΚΑΤ","B",IF(C5="ΑΡΤΕΜΙΣ / ERICSSON","Γ",IF(C5="INTRAKAT","Δ",""))))</f>
        <v/>
      </c>
      <c r="F4" s="174"/>
      <c r="G4" s="16" t="s">
        <v>7</v>
      </c>
      <c r="H4" s="61"/>
      <c r="I4"/>
      <c r="J4" s="131" t="s">
        <v>53</v>
      </c>
      <c r="K4" s="132"/>
      <c r="L4" s="133"/>
      <c r="M4" s="134"/>
      <c r="N4" s="30"/>
    </row>
    <row r="5" spans="1:15" ht="18" customHeight="1" thickBot="1" x14ac:dyDescent="0.25">
      <c r="A5" s="3"/>
      <c r="B5" s="14" t="s">
        <v>8</v>
      </c>
      <c r="C5" s="166" t="s">
        <v>141</v>
      </c>
      <c r="D5" s="166"/>
      <c r="E5" s="166"/>
      <c r="F5" s="167"/>
      <c r="G5" s="16" t="s">
        <v>9</v>
      </c>
      <c r="H5" s="70"/>
      <c r="I5"/>
      <c r="J5" s="131" t="s">
        <v>54</v>
      </c>
      <c r="K5" s="132"/>
      <c r="L5" s="133"/>
      <c r="M5" s="134"/>
      <c r="N5" s="30"/>
    </row>
    <row r="6" spans="1:15" ht="22.5" customHeight="1" thickTop="1" x14ac:dyDescent="0.2">
      <c r="A6" s="3"/>
      <c r="B6" s="14" t="s">
        <v>10</v>
      </c>
      <c r="C6" s="168"/>
      <c r="D6" s="168"/>
      <c r="E6" s="168"/>
      <c r="F6" s="168"/>
      <c r="G6" s="16" t="s">
        <v>11</v>
      </c>
      <c r="H6" s="61"/>
      <c r="I6"/>
      <c r="J6" s="131" t="s">
        <v>55</v>
      </c>
      <c r="K6" s="132"/>
      <c r="L6" s="133"/>
      <c r="M6" s="134"/>
      <c r="N6" s="30"/>
      <c r="O6" s="125" t="s">
        <v>59</v>
      </c>
    </row>
    <row r="7" spans="1:15" ht="21.75" customHeight="1" thickBot="1" x14ac:dyDescent="0.25">
      <c r="A7" s="3"/>
      <c r="B7" s="14" t="s">
        <v>12</v>
      </c>
      <c r="C7" s="168"/>
      <c r="D7" s="168"/>
      <c r="E7" s="168"/>
      <c r="F7" s="168"/>
      <c r="G7" s="16" t="s">
        <v>13</v>
      </c>
      <c r="H7" s="61"/>
      <c r="I7"/>
      <c r="J7" s="131" t="s">
        <v>56</v>
      </c>
      <c r="K7" s="132"/>
      <c r="L7" s="133"/>
      <c r="M7" s="134"/>
      <c r="N7" s="31"/>
      <c r="O7" s="126"/>
    </row>
    <row r="8" spans="1:15" ht="21" customHeight="1" thickBot="1" x14ac:dyDescent="0.25">
      <c r="A8" s="3"/>
      <c r="B8" s="22" t="s">
        <v>14</v>
      </c>
      <c r="C8" s="141"/>
      <c r="D8" s="141"/>
      <c r="E8" s="141"/>
      <c r="F8" s="141"/>
      <c r="G8" s="23" t="s">
        <v>15</v>
      </c>
      <c r="H8" s="62"/>
      <c r="I8"/>
      <c r="J8" s="147" t="s">
        <v>58</v>
      </c>
      <c r="K8" s="148"/>
      <c r="L8" s="133"/>
      <c r="M8" s="134"/>
      <c r="N8" s="1"/>
      <c r="O8" s="18"/>
    </row>
    <row r="9" spans="1:15" ht="13.5" customHeight="1" x14ac:dyDescent="0.2">
      <c r="A9" s="3"/>
      <c r="B9" s="160" t="s">
        <v>16</v>
      </c>
      <c r="C9" s="162" t="s">
        <v>17</v>
      </c>
      <c r="D9" s="162"/>
      <c r="E9" s="162"/>
      <c r="F9" s="162"/>
      <c r="G9" s="162"/>
      <c r="H9" s="164" t="s">
        <v>18</v>
      </c>
      <c r="I9"/>
      <c r="J9" s="135" t="s">
        <v>35</v>
      </c>
      <c r="K9" s="136"/>
      <c r="L9" s="136"/>
      <c r="M9" s="137"/>
      <c r="N9" s="1"/>
      <c r="O9" s="1"/>
    </row>
    <row r="10" spans="1:15" ht="12.75" customHeight="1" thickBot="1" x14ac:dyDescent="0.25">
      <c r="A10" s="3"/>
      <c r="B10" s="161"/>
      <c r="C10" s="163"/>
      <c r="D10" s="163"/>
      <c r="E10" s="163"/>
      <c r="F10" s="163"/>
      <c r="G10" s="163"/>
      <c r="H10" s="165"/>
      <c r="I10"/>
      <c r="J10" s="54" t="s">
        <v>19</v>
      </c>
      <c r="K10" s="55" t="s">
        <v>20</v>
      </c>
      <c r="L10" s="55" t="s">
        <v>21</v>
      </c>
      <c r="M10" s="56" t="s">
        <v>18</v>
      </c>
      <c r="N10" s="1"/>
      <c r="O10" s="1"/>
    </row>
    <row r="11" spans="1:15" s="1" customFormat="1" ht="11.25" customHeight="1" x14ac:dyDescent="0.2">
      <c r="A11" s="2"/>
      <c r="B11" s="26" t="s">
        <v>226</v>
      </c>
      <c r="C11" s="146" t="s">
        <v>29</v>
      </c>
      <c r="D11" s="146"/>
      <c r="E11" s="146"/>
      <c r="F11" s="146"/>
      <c r="G11" s="113"/>
      <c r="H11" s="63"/>
      <c r="I11"/>
      <c r="J11" s="57">
        <v>14023051</v>
      </c>
      <c r="K11" s="58" t="s">
        <v>36</v>
      </c>
      <c r="L11" s="59" t="s">
        <v>119</v>
      </c>
      <c r="M11" s="60"/>
    </row>
    <row r="12" spans="1:15" s="1" customFormat="1" ht="11.25" customHeight="1" x14ac:dyDescent="0.2">
      <c r="A12" s="2"/>
      <c r="B12" s="24" t="s">
        <v>227</v>
      </c>
      <c r="C12" s="149" t="s">
        <v>30</v>
      </c>
      <c r="D12" s="149"/>
      <c r="E12" s="149"/>
      <c r="F12" s="149"/>
      <c r="G12" s="150"/>
      <c r="H12" s="64"/>
      <c r="I12"/>
      <c r="J12" s="19">
        <v>14026586</v>
      </c>
      <c r="K12" s="4" t="s">
        <v>121</v>
      </c>
      <c r="L12" s="5" t="s">
        <v>119</v>
      </c>
      <c r="M12" s="20"/>
    </row>
    <row r="13" spans="1:15" s="1" customFormat="1" ht="11.25" customHeight="1" x14ac:dyDescent="0.2">
      <c r="A13" s="2"/>
      <c r="B13" s="24" t="s">
        <v>228</v>
      </c>
      <c r="C13" s="149" t="s">
        <v>31</v>
      </c>
      <c r="D13" s="149"/>
      <c r="E13" s="149"/>
      <c r="F13" s="149"/>
      <c r="G13" s="150"/>
      <c r="H13" s="64"/>
      <c r="I13"/>
      <c r="J13" s="19">
        <v>14027164</v>
      </c>
      <c r="K13" s="33" t="s">
        <v>51</v>
      </c>
      <c r="L13" s="17" t="s">
        <v>119</v>
      </c>
      <c r="M13" s="20"/>
    </row>
    <row r="14" spans="1:15" s="1" customFormat="1" ht="11.25" customHeight="1" x14ac:dyDescent="0.2">
      <c r="A14" s="2"/>
      <c r="B14" s="24" t="s">
        <v>229</v>
      </c>
      <c r="C14" s="149" t="s">
        <v>32</v>
      </c>
      <c r="D14" s="149"/>
      <c r="E14" s="149"/>
      <c r="F14" s="149"/>
      <c r="G14" s="150"/>
      <c r="H14" s="64"/>
      <c r="I14"/>
      <c r="J14" s="19">
        <v>14027165</v>
      </c>
      <c r="K14" s="4" t="s">
        <v>127</v>
      </c>
      <c r="L14" s="5" t="s">
        <v>119</v>
      </c>
      <c r="M14" s="20"/>
    </row>
    <row r="15" spans="1:15" s="1" customFormat="1" ht="11.25" customHeight="1" x14ac:dyDescent="0.2">
      <c r="A15" s="2"/>
      <c r="B15" s="24" t="s">
        <v>230</v>
      </c>
      <c r="C15" s="149" t="s">
        <v>33</v>
      </c>
      <c r="D15" s="149"/>
      <c r="E15" s="149"/>
      <c r="F15" s="149"/>
      <c r="G15" s="150"/>
      <c r="H15" s="64"/>
      <c r="I15"/>
      <c r="J15" s="19">
        <v>14026588</v>
      </c>
      <c r="K15" s="4" t="s">
        <v>122</v>
      </c>
      <c r="L15" s="5" t="s">
        <v>126</v>
      </c>
      <c r="M15" s="20"/>
    </row>
    <row r="16" spans="1:15" s="1" customFormat="1" ht="11.25" customHeight="1" thickBot="1" x14ac:dyDescent="0.25">
      <c r="A16" s="2"/>
      <c r="B16" s="27" t="s">
        <v>231</v>
      </c>
      <c r="C16" s="151" t="s">
        <v>34</v>
      </c>
      <c r="D16" s="151"/>
      <c r="E16" s="151"/>
      <c r="F16" s="151"/>
      <c r="G16" s="152"/>
      <c r="H16" s="65"/>
      <c r="I16"/>
      <c r="J16" s="19">
        <v>14026591</v>
      </c>
      <c r="K16" s="4" t="s">
        <v>124</v>
      </c>
      <c r="L16" s="5" t="s">
        <v>126</v>
      </c>
      <c r="M16" s="20"/>
    </row>
    <row r="17" spans="1:15" s="1" customFormat="1" ht="11.25" customHeight="1" thickBot="1" x14ac:dyDescent="0.25">
      <c r="A17" s="2"/>
      <c r="B17" s="28">
        <v>1951</v>
      </c>
      <c r="C17" s="43" t="s">
        <v>61</v>
      </c>
      <c r="D17" s="43"/>
      <c r="E17" s="43"/>
      <c r="F17" s="43"/>
      <c r="G17" s="44"/>
      <c r="H17" s="66"/>
      <c r="I17"/>
      <c r="J17" s="19">
        <v>14027437</v>
      </c>
      <c r="K17" s="4" t="s">
        <v>128</v>
      </c>
      <c r="L17" s="5" t="s">
        <v>119</v>
      </c>
      <c r="M17" s="20"/>
    </row>
    <row r="18" spans="1:15" s="1" customFormat="1" ht="11.25" customHeight="1" x14ac:dyDescent="0.2">
      <c r="A18" s="2"/>
      <c r="B18" s="32" t="s">
        <v>232</v>
      </c>
      <c r="C18" s="48" t="s">
        <v>143</v>
      </c>
      <c r="D18" s="48"/>
      <c r="E18" s="48"/>
      <c r="F18" s="48"/>
      <c r="G18" s="49"/>
      <c r="H18" s="67">
        <v>1</v>
      </c>
      <c r="I18"/>
      <c r="J18" s="19">
        <v>14027437</v>
      </c>
      <c r="K18" s="4" t="s">
        <v>133</v>
      </c>
      <c r="L18" s="5" t="s">
        <v>119</v>
      </c>
      <c r="M18" s="20">
        <f>M17*0.05</f>
        <v>0</v>
      </c>
    </row>
    <row r="19" spans="1:15" s="1" customFormat="1" ht="11.25" customHeight="1" thickBot="1" x14ac:dyDescent="0.25">
      <c r="A19" s="2"/>
      <c r="B19" s="24" t="s">
        <v>233</v>
      </c>
      <c r="C19" s="40" t="s">
        <v>144</v>
      </c>
      <c r="D19" s="40"/>
      <c r="E19" s="40"/>
      <c r="F19" s="40"/>
      <c r="G19" s="37"/>
      <c r="H19" s="65"/>
      <c r="I19"/>
      <c r="J19" s="19">
        <v>14027438</v>
      </c>
      <c r="K19" s="4" t="s">
        <v>129</v>
      </c>
      <c r="L19" s="5" t="s">
        <v>119</v>
      </c>
      <c r="M19" s="20"/>
    </row>
    <row r="20" spans="1:15" s="1" customFormat="1" ht="11.25" customHeight="1" x14ac:dyDescent="0.2">
      <c r="A20" s="2"/>
      <c r="B20" s="26" t="s">
        <v>234</v>
      </c>
      <c r="C20" s="41" t="s">
        <v>62</v>
      </c>
      <c r="D20" s="41"/>
      <c r="E20" s="41"/>
      <c r="F20" s="41"/>
      <c r="G20" s="42"/>
      <c r="H20" s="63"/>
      <c r="I20"/>
      <c r="J20" s="19">
        <v>14027438</v>
      </c>
      <c r="K20" s="4" t="s">
        <v>134</v>
      </c>
      <c r="L20" s="5" t="s">
        <v>119</v>
      </c>
      <c r="M20" s="20">
        <f>M19*0.05</f>
        <v>0</v>
      </c>
    </row>
    <row r="21" spans="1:15" s="1" customFormat="1" ht="11.25" customHeight="1" thickBot="1" x14ac:dyDescent="0.25">
      <c r="A21" s="2"/>
      <c r="B21" s="27" t="s">
        <v>235</v>
      </c>
      <c r="C21" s="45" t="s">
        <v>63</v>
      </c>
      <c r="D21" s="45"/>
      <c r="E21" s="45"/>
      <c r="F21" s="45"/>
      <c r="G21" s="34"/>
      <c r="H21" s="65"/>
      <c r="I21"/>
      <c r="J21" s="19">
        <v>14027439</v>
      </c>
      <c r="K21" s="4" t="s">
        <v>130</v>
      </c>
      <c r="L21" s="5" t="s">
        <v>119</v>
      </c>
      <c r="M21" s="20"/>
    </row>
    <row r="22" spans="1:15" s="2" customFormat="1" ht="11.25" customHeight="1" x14ac:dyDescent="0.2">
      <c r="B22" s="32" t="s">
        <v>236</v>
      </c>
      <c r="C22" s="48" t="s">
        <v>64</v>
      </c>
      <c r="D22" s="48"/>
      <c r="E22" s="48"/>
      <c r="F22" s="48"/>
      <c r="G22" s="49"/>
      <c r="H22" s="67"/>
      <c r="I22"/>
      <c r="J22" s="19">
        <v>14027439</v>
      </c>
      <c r="K22" s="4" t="s">
        <v>135</v>
      </c>
      <c r="L22" s="5" t="s">
        <v>119</v>
      </c>
      <c r="M22" s="20">
        <f>M21*0.05</f>
        <v>0</v>
      </c>
      <c r="N22" s="1"/>
      <c r="O22" s="1"/>
    </row>
    <row r="23" spans="1:15" s="1" customFormat="1" ht="11.25" customHeight="1" x14ac:dyDescent="0.2">
      <c r="A23" s="2"/>
      <c r="B23" s="24" t="s">
        <v>237</v>
      </c>
      <c r="C23" s="40" t="s">
        <v>65</v>
      </c>
      <c r="D23" s="40"/>
      <c r="E23" s="40"/>
      <c r="F23" s="40"/>
      <c r="G23" s="37"/>
      <c r="H23" s="64"/>
      <c r="I23"/>
      <c r="J23" s="19">
        <v>14027440</v>
      </c>
      <c r="K23" s="4" t="s">
        <v>131</v>
      </c>
      <c r="L23" s="5" t="s">
        <v>119</v>
      </c>
      <c r="M23" s="20"/>
    </row>
    <row r="24" spans="1:15" s="1" customFormat="1" ht="11.25" customHeight="1" x14ac:dyDescent="0.2">
      <c r="A24" s="2"/>
      <c r="B24" s="24" t="s">
        <v>238</v>
      </c>
      <c r="C24" s="40" t="s">
        <v>66</v>
      </c>
      <c r="D24" s="40"/>
      <c r="E24" s="40"/>
      <c r="F24" s="40"/>
      <c r="G24" s="37"/>
      <c r="H24" s="64"/>
      <c r="I24"/>
      <c r="J24" s="19">
        <v>14027440</v>
      </c>
      <c r="K24" s="4" t="s">
        <v>136</v>
      </c>
      <c r="L24" s="5" t="s">
        <v>119</v>
      </c>
      <c r="M24" s="20">
        <f>M23*0.05</f>
        <v>0</v>
      </c>
    </row>
    <row r="25" spans="1:15" s="1" customFormat="1" ht="11.25" customHeight="1" x14ac:dyDescent="0.2">
      <c r="A25" s="2"/>
      <c r="B25" s="25" t="s">
        <v>239</v>
      </c>
      <c r="C25" s="46" t="s">
        <v>67</v>
      </c>
      <c r="D25" s="46"/>
      <c r="E25" s="46"/>
      <c r="F25" s="46"/>
      <c r="G25" s="47"/>
      <c r="H25" s="68"/>
      <c r="I25"/>
      <c r="J25" s="19">
        <v>14027441</v>
      </c>
      <c r="K25" s="4" t="s">
        <v>132</v>
      </c>
      <c r="L25" s="5" t="s">
        <v>119</v>
      </c>
      <c r="M25" s="20"/>
    </row>
    <row r="26" spans="1:15" s="1" customFormat="1" ht="21" customHeight="1" x14ac:dyDescent="0.2">
      <c r="A26" s="2"/>
      <c r="B26" s="71" t="s">
        <v>240</v>
      </c>
      <c r="C26" s="145" t="s">
        <v>204</v>
      </c>
      <c r="D26" s="145"/>
      <c r="E26" s="145"/>
      <c r="F26" s="145"/>
      <c r="G26" s="145"/>
      <c r="H26" s="72"/>
      <c r="I26"/>
      <c r="J26" s="19">
        <v>14027441</v>
      </c>
      <c r="K26" s="4" t="s">
        <v>137</v>
      </c>
      <c r="L26" s="5" t="s">
        <v>119</v>
      </c>
      <c r="M26" s="20">
        <f>M25*0.05</f>
        <v>0</v>
      </c>
    </row>
    <row r="27" spans="1:15" s="1" customFormat="1" ht="23.45" customHeight="1" x14ac:dyDescent="0.2">
      <c r="A27" s="2"/>
      <c r="B27" s="71" t="s">
        <v>241</v>
      </c>
      <c r="C27" s="116" t="s">
        <v>205</v>
      </c>
      <c r="D27" s="117"/>
      <c r="E27" s="117"/>
      <c r="F27" s="117"/>
      <c r="G27" s="118"/>
      <c r="H27" s="72"/>
      <c r="I27"/>
      <c r="J27" s="19">
        <v>14028679</v>
      </c>
      <c r="K27" s="4" t="s">
        <v>142</v>
      </c>
      <c r="L27" s="5" t="s">
        <v>119</v>
      </c>
      <c r="M27" s="20"/>
    </row>
    <row r="28" spans="1:15" s="1" customFormat="1" ht="24.6" customHeight="1" x14ac:dyDescent="0.2">
      <c r="A28" s="2"/>
      <c r="B28" s="71" t="s">
        <v>242</v>
      </c>
      <c r="C28" s="116" t="s">
        <v>206</v>
      </c>
      <c r="D28" s="117"/>
      <c r="E28" s="117"/>
      <c r="F28" s="117"/>
      <c r="G28" s="117"/>
      <c r="H28" s="72"/>
      <c r="I28"/>
      <c r="J28" s="19">
        <v>14028679</v>
      </c>
      <c r="K28" s="4" t="s">
        <v>177</v>
      </c>
      <c r="L28" s="5" t="s">
        <v>119</v>
      </c>
      <c r="M28" s="20">
        <f>M27*0.05</f>
        <v>0</v>
      </c>
    </row>
    <row r="29" spans="1:15" s="1" customFormat="1" ht="23.45" customHeight="1" thickBot="1" x14ac:dyDescent="0.25">
      <c r="A29" s="2"/>
      <c r="B29" s="71" t="s">
        <v>243</v>
      </c>
      <c r="C29" s="119" t="s">
        <v>207</v>
      </c>
      <c r="D29" s="120"/>
      <c r="E29" s="120"/>
      <c r="F29" s="120"/>
      <c r="G29" s="121"/>
      <c r="H29" s="73"/>
      <c r="I29"/>
      <c r="J29" s="19">
        <v>14022945</v>
      </c>
      <c r="K29" s="4" t="s">
        <v>178</v>
      </c>
      <c r="L29" s="5" t="s">
        <v>119</v>
      </c>
      <c r="M29" s="20"/>
    </row>
    <row r="30" spans="1:15" s="1" customFormat="1" ht="18" customHeight="1" x14ac:dyDescent="0.2">
      <c r="A30" s="2"/>
      <c r="B30" s="26" t="s">
        <v>244</v>
      </c>
      <c r="C30" s="41" t="s">
        <v>68</v>
      </c>
      <c r="D30" s="41"/>
      <c r="E30" s="41"/>
      <c r="F30" s="41"/>
      <c r="G30" s="42"/>
      <c r="H30" s="63"/>
      <c r="I30"/>
      <c r="J30" s="19">
        <v>14022945</v>
      </c>
      <c r="K30" s="4" t="s">
        <v>179</v>
      </c>
      <c r="L30" s="5" t="s">
        <v>119</v>
      </c>
      <c r="M30" s="20">
        <f>M29*0.05</f>
        <v>0</v>
      </c>
    </row>
    <row r="31" spans="1:15" s="1" customFormat="1" ht="11.25" customHeight="1" x14ac:dyDescent="0.2">
      <c r="A31" s="2"/>
      <c r="B31" s="24" t="s">
        <v>245</v>
      </c>
      <c r="C31" s="40" t="s">
        <v>69</v>
      </c>
      <c r="D31" s="40"/>
      <c r="E31" s="40"/>
      <c r="F31" s="40"/>
      <c r="G31" s="37"/>
      <c r="H31" s="64"/>
      <c r="I31"/>
      <c r="J31" s="19">
        <v>14028678</v>
      </c>
      <c r="K31" s="4" t="s">
        <v>180</v>
      </c>
      <c r="L31" s="5" t="s">
        <v>119</v>
      </c>
      <c r="M31" s="20"/>
    </row>
    <row r="32" spans="1:15" s="1" customFormat="1" ht="11.25" customHeight="1" x14ac:dyDescent="0.2">
      <c r="A32" s="2"/>
      <c r="B32" s="24" t="s">
        <v>246</v>
      </c>
      <c r="C32" s="40" t="s">
        <v>70</v>
      </c>
      <c r="D32" s="40"/>
      <c r="E32" s="40"/>
      <c r="F32" s="40"/>
      <c r="G32" s="37"/>
      <c r="H32" s="64"/>
      <c r="I32"/>
      <c r="J32" s="19">
        <v>14028678</v>
      </c>
      <c r="K32" s="4" t="s">
        <v>181</v>
      </c>
      <c r="L32" s="5" t="s">
        <v>119</v>
      </c>
      <c r="M32" s="20">
        <f>M31*0.05</f>
        <v>0</v>
      </c>
    </row>
    <row r="33" spans="1:13" s="1" customFormat="1" ht="11.25" customHeight="1" x14ac:dyDescent="0.2">
      <c r="A33" s="2"/>
      <c r="B33" s="71" t="s">
        <v>247</v>
      </c>
      <c r="C33" s="74" t="s">
        <v>145</v>
      </c>
      <c r="D33" s="74"/>
      <c r="E33" s="74"/>
      <c r="F33" s="74"/>
      <c r="G33" s="74"/>
      <c r="H33" s="72"/>
      <c r="I33"/>
      <c r="J33" s="19">
        <v>14028868</v>
      </c>
      <c r="K33" s="4" t="s">
        <v>37</v>
      </c>
      <c r="L33" s="5" t="s">
        <v>126</v>
      </c>
      <c r="M33" s="20"/>
    </row>
    <row r="34" spans="1:13" s="1" customFormat="1" ht="11.25" customHeight="1" thickBot="1" x14ac:dyDescent="0.25">
      <c r="A34" s="2"/>
      <c r="B34" s="75" t="s">
        <v>248</v>
      </c>
      <c r="C34" s="76" t="s">
        <v>146</v>
      </c>
      <c r="D34" s="76"/>
      <c r="E34" s="76"/>
      <c r="F34" s="76"/>
      <c r="G34" s="76"/>
      <c r="H34" s="73">
        <v>1</v>
      </c>
      <c r="I34"/>
      <c r="J34" s="19">
        <v>14028869</v>
      </c>
      <c r="K34" s="4" t="s">
        <v>38</v>
      </c>
      <c r="L34" s="5" t="s">
        <v>126</v>
      </c>
      <c r="M34" s="20"/>
    </row>
    <row r="35" spans="1:13" s="1" customFormat="1" ht="11.25" customHeight="1" x14ac:dyDescent="0.2">
      <c r="A35" s="2"/>
      <c r="B35" s="32" t="s">
        <v>249</v>
      </c>
      <c r="C35" s="48" t="s">
        <v>71</v>
      </c>
      <c r="D35" s="48"/>
      <c r="E35" s="48"/>
      <c r="F35" s="48"/>
      <c r="G35" s="49"/>
      <c r="H35" s="67"/>
      <c r="I35"/>
      <c r="J35" s="19">
        <v>14028870</v>
      </c>
      <c r="K35" s="4" t="s">
        <v>39</v>
      </c>
      <c r="L35" s="5" t="s">
        <v>126</v>
      </c>
      <c r="M35" s="20"/>
    </row>
    <row r="36" spans="1:13" s="1" customFormat="1" ht="11.25" customHeight="1" thickBot="1" x14ac:dyDescent="0.25">
      <c r="A36" s="2"/>
      <c r="B36" s="27" t="s">
        <v>250</v>
      </c>
      <c r="C36" s="45" t="s">
        <v>72</v>
      </c>
      <c r="D36" s="45"/>
      <c r="E36" s="45"/>
      <c r="F36" s="45"/>
      <c r="G36" s="34"/>
      <c r="H36" s="65"/>
      <c r="I36"/>
      <c r="J36" s="19">
        <v>14028871</v>
      </c>
      <c r="K36" s="4" t="s">
        <v>40</v>
      </c>
      <c r="L36" s="5" t="s">
        <v>126</v>
      </c>
      <c r="M36" s="20"/>
    </row>
    <row r="37" spans="1:13" s="1" customFormat="1" ht="11.25" customHeight="1" x14ac:dyDescent="0.2">
      <c r="A37" s="2"/>
      <c r="B37" s="26" t="s">
        <v>23</v>
      </c>
      <c r="C37" s="122" t="s">
        <v>73</v>
      </c>
      <c r="D37" s="123"/>
      <c r="E37" s="123"/>
      <c r="F37" s="123"/>
      <c r="G37" s="124"/>
      <c r="H37" s="63"/>
      <c r="I37"/>
      <c r="J37" s="19">
        <v>14028872</v>
      </c>
      <c r="K37" s="4" t="s">
        <v>41</v>
      </c>
      <c r="L37" s="5" t="s">
        <v>126</v>
      </c>
      <c r="M37" s="20"/>
    </row>
    <row r="38" spans="1:13" s="1" customFormat="1" ht="11.25" customHeight="1" x14ac:dyDescent="0.2">
      <c r="A38" s="2"/>
      <c r="B38" s="24" t="s">
        <v>24</v>
      </c>
      <c r="C38" s="142" t="s">
        <v>74</v>
      </c>
      <c r="D38" s="143"/>
      <c r="E38" s="143"/>
      <c r="F38" s="143"/>
      <c r="G38" s="144"/>
      <c r="H38" s="64"/>
      <c r="I38"/>
      <c r="J38" s="19">
        <v>14028873</v>
      </c>
      <c r="K38" s="4" t="s">
        <v>42</v>
      </c>
      <c r="L38" s="5" t="s">
        <v>126</v>
      </c>
      <c r="M38" s="20"/>
    </row>
    <row r="39" spans="1:13" s="1" customFormat="1" ht="11.25" customHeight="1" thickBot="1" x14ac:dyDescent="0.25">
      <c r="A39" s="2"/>
      <c r="B39" s="27" t="s">
        <v>25</v>
      </c>
      <c r="C39" s="138" t="s">
        <v>75</v>
      </c>
      <c r="D39" s="139"/>
      <c r="E39" s="139"/>
      <c r="F39" s="139"/>
      <c r="G39" s="140"/>
      <c r="H39" s="65"/>
      <c r="I39"/>
      <c r="J39" s="19">
        <v>14029065</v>
      </c>
      <c r="K39" s="4" t="s">
        <v>182</v>
      </c>
      <c r="L39" s="5" t="s">
        <v>126</v>
      </c>
      <c r="M39" s="20"/>
    </row>
    <row r="40" spans="1:13" s="1" customFormat="1" ht="11.25" customHeight="1" x14ac:dyDescent="0.2">
      <c r="A40" s="2"/>
      <c r="B40" s="26" t="s">
        <v>251</v>
      </c>
      <c r="C40" s="41" t="s">
        <v>76</v>
      </c>
      <c r="D40" s="41"/>
      <c r="E40" s="41"/>
      <c r="F40" s="41"/>
      <c r="G40" s="42"/>
      <c r="H40" s="63"/>
      <c r="I40"/>
      <c r="J40" s="19">
        <v>14029066</v>
      </c>
      <c r="K40" s="4" t="s">
        <v>183</v>
      </c>
      <c r="L40" s="5" t="s">
        <v>126</v>
      </c>
      <c r="M40" s="20"/>
    </row>
    <row r="41" spans="1:13" s="1" customFormat="1" ht="11.25" customHeight="1" x14ac:dyDescent="0.2">
      <c r="A41" s="2"/>
      <c r="B41" s="25" t="s">
        <v>252</v>
      </c>
      <c r="C41" s="142" t="s">
        <v>96</v>
      </c>
      <c r="D41" s="143"/>
      <c r="E41" s="143"/>
      <c r="F41" s="143"/>
      <c r="G41" s="144"/>
      <c r="H41" s="68"/>
      <c r="I41"/>
      <c r="J41" s="19">
        <v>14028924</v>
      </c>
      <c r="K41" s="4" t="s">
        <v>43</v>
      </c>
      <c r="L41" s="5" t="s">
        <v>126</v>
      </c>
      <c r="M41" s="20"/>
    </row>
    <row r="42" spans="1:13" s="1" customFormat="1" ht="11.25" customHeight="1" x14ac:dyDescent="0.2">
      <c r="A42" s="2"/>
      <c r="B42" s="24" t="s">
        <v>253</v>
      </c>
      <c r="C42" s="37" t="s">
        <v>147</v>
      </c>
      <c r="D42" s="38"/>
      <c r="E42" s="38"/>
      <c r="F42" s="38"/>
      <c r="G42" s="39"/>
      <c r="H42" s="64"/>
      <c r="I42"/>
      <c r="J42" s="19">
        <v>14028925</v>
      </c>
      <c r="K42" s="4" t="s">
        <v>44</v>
      </c>
      <c r="L42" s="5" t="s">
        <v>126</v>
      </c>
      <c r="M42" s="20"/>
    </row>
    <row r="43" spans="1:13" s="1" customFormat="1" ht="11.25" customHeight="1" thickBot="1" x14ac:dyDescent="0.25">
      <c r="A43" s="2"/>
      <c r="B43" s="27" t="s">
        <v>254</v>
      </c>
      <c r="C43" s="34" t="s">
        <v>148</v>
      </c>
      <c r="D43" s="35"/>
      <c r="E43" s="35"/>
      <c r="F43" s="35"/>
      <c r="G43" s="36"/>
      <c r="H43" s="65"/>
      <c r="I43"/>
      <c r="J43" s="19">
        <v>14028926</v>
      </c>
      <c r="K43" s="4" t="s">
        <v>45</v>
      </c>
      <c r="L43" s="5" t="s">
        <v>126</v>
      </c>
      <c r="M43" s="20"/>
    </row>
    <row r="44" spans="1:13" s="1" customFormat="1" ht="11.25" customHeight="1" x14ac:dyDescent="0.2">
      <c r="A44" s="2"/>
      <c r="B44" s="32" t="s">
        <v>255</v>
      </c>
      <c r="C44" s="48" t="s">
        <v>77</v>
      </c>
      <c r="D44" s="48"/>
      <c r="E44" s="48"/>
      <c r="F44" s="48"/>
      <c r="G44" s="49"/>
      <c r="H44" s="67">
        <v>1</v>
      </c>
      <c r="I44"/>
      <c r="J44" s="19">
        <v>14028927</v>
      </c>
      <c r="K44" s="4" t="s">
        <v>46</v>
      </c>
      <c r="L44" s="5" t="s">
        <v>126</v>
      </c>
      <c r="M44" s="20"/>
    </row>
    <row r="45" spans="1:13" s="1" customFormat="1" ht="11.25" customHeight="1" thickBot="1" x14ac:dyDescent="0.25">
      <c r="A45" s="2"/>
      <c r="B45" s="27" t="s">
        <v>256</v>
      </c>
      <c r="C45" s="45" t="s">
        <v>78</v>
      </c>
      <c r="D45" s="45"/>
      <c r="E45" s="45"/>
      <c r="F45" s="45"/>
      <c r="G45" s="34"/>
      <c r="H45" s="65"/>
      <c r="I45"/>
      <c r="J45" s="19">
        <v>14028928</v>
      </c>
      <c r="K45" s="4" t="s">
        <v>47</v>
      </c>
      <c r="L45" s="5" t="s">
        <v>126</v>
      </c>
      <c r="M45" s="20"/>
    </row>
    <row r="46" spans="1:13" s="1" customFormat="1" ht="22.15" customHeight="1" x14ac:dyDescent="0.2">
      <c r="A46" s="2"/>
      <c r="B46" s="26" t="s">
        <v>139</v>
      </c>
      <c r="C46" s="122" t="s">
        <v>149</v>
      </c>
      <c r="D46" s="123"/>
      <c r="E46" s="123"/>
      <c r="F46" s="123"/>
      <c r="G46" s="124"/>
      <c r="H46" s="63">
        <v>1</v>
      </c>
      <c r="I46"/>
      <c r="J46" s="19">
        <v>14032588</v>
      </c>
      <c r="K46" s="4" t="s">
        <v>184</v>
      </c>
      <c r="L46" s="5" t="s">
        <v>126</v>
      </c>
      <c r="M46" s="20"/>
    </row>
    <row r="47" spans="1:13" s="1" customFormat="1" ht="25.9" customHeight="1" thickBot="1" x14ac:dyDescent="0.25">
      <c r="A47" s="2"/>
      <c r="B47" s="27" t="s">
        <v>140</v>
      </c>
      <c r="C47" s="138" t="s">
        <v>150</v>
      </c>
      <c r="D47" s="139"/>
      <c r="E47" s="139"/>
      <c r="F47" s="139"/>
      <c r="G47" s="140"/>
      <c r="H47" s="65"/>
      <c r="I47"/>
      <c r="J47" s="19">
        <v>14032607</v>
      </c>
      <c r="K47" s="4" t="s">
        <v>185</v>
      </c>
      <c r="L47" s="5" t="s">
        <v>126</v>
      </c>
      <c r="M47" s="20"/>
    </row>
    <row r="48" spans="1:13" s="1" customFormat="1" ht="19.149999999999999" customHeight="1" x14ac:dyDescent="0.2">
      <c r="A48" s="2"/>
      <c r="B48" s="26" t="s">
        <v>26</v>
      </c>
      <c r="C48" s="41" t="s">
        <v>79</v>
      </c>
      <c r="D48" s="41"/>
      <c r="E48" s="41"/>
      <c r="F48" s="41"/>
      <c r="G48" s="42"/>
      <c r="H48" s="63"/>
      <c r="I48"/>
      <c r="J48" s="19">
        <v>14032589</v>
      </c>
      <c r="K48" s="4" t="s">
        <v>186</v>
      </c>
      <c r="L48" s="5" t="s">
        <v>126</v>
      </c>
      <c r="M48" s="20"/>
    </row>
    <row r="49" spans="1:13" s="1" customFormat="1" ht="11.25" customHeight="1" x14ac:dyDescent="0.2">
      <c r="A49" s="2"/>
      <c r="B49" s="24" t="s">
        <v>27</v>
      </c>
      <c r="C49" s="40" t="s">
        <v>80</v>
      </c>
      <c r="D49" s="40"/>
      <c r="E49" s="40"/>
      <c r="F49" s="40"/>
      <c r="G49" s="37"/>
      <c r="H49" s="64">
        <v>2</v>
      </c>
      <c r="I49"/>
      <c r="J49" s="19">
        <v>14032608</v>
      </c>
      <c r="K49" s="4" t="s">
        <v>187</v>
      </c>
      <c r="L49" s="5" t="s">
        <v>126</v>
      </c>
      <c r="M49" s="20"/>
    </row>
    <row r="50" spans="1:13" s="1" customFormat="1" ht="11.25" customHeight="1" x14ac:dyDescent="0.2">
      <c r="A50" s="2"/>
      <c r="B50" s="24" t="s">
        <v>28</v>
      </c>
      <c r="C50" s="40" t="s">
        <v>81</v>
      </c>
      <c r="D50" s="40"/>
      <c r="E50" s="40"/>
      <c r="F50" s="40"/>
      <c r="G50" s="37"/>
      <c r="H50" s="64"/>
      <c r="I50"/>
      <c r="J50" s="19">
        <v>14032590</v>
      </c>
      <c r="K50" s="4" t="s">
        <v>188</v>
      </c>
      <c r="L50" s="5" t="s">
        <v>126</v>
      </c>
      <c r="M50" s="20"/>
    </row>
    <row r="51" spans="1:13" s="1" customFormat="1" ht="11.25" customHeight="1" thickBot="1" x14ac:dyDescent="0.25">
      <c r="A51" s="2"/>
      <c r="B51" s="25" t="s">
        <v>60</v>
      </c>
      <c r="C51" s="46" t="s">
        <v>82</v>
      </c>
      <c r="D51" s="46"/>
      <c r="E51" s="46"/>
      <c r="F51" s="46"/>
      <c r="G51" s="47"/>
      <c r="H51" s="68"/>
      <c r="I51"/>
      <c r="J51" s="19">
        <v>14028929</v>
      </c>
      <c r="K51" s="4" t="s">
        <v>48</v>
      </c>
      <c r="L51" s="5" t="s">
        <v>126</v>
      </c>
      <c r="M51" s="20"/>
    </row>
    <row r="52" spans="1:13" s="1" customFormat="1" ht="11.25" customHeight="1" x14ac:dyDescent="0.2">
      <c r="A52" s="2"/>
      <c r="B52" s="26" t="s">
        <v>257</v>
      </c>
      <c r="C52" s="41" t="s">
        <v>175</v>
      </c>
      <c r="D52" s="41"/>
      <c r="E52" s="41"/>
      <c r="F52" s="41"/>
      <c r="G52" s="41"/>
      <c r="H52" s="63"/>
      <c r="I52"/>
      <c r="J52" s="19">
        <v>14029061</v>
      </c>
      <c r="K52" s="4" t="s">
        <v>49</v>
      </c>
      <c r="L52" s="5" t="s">
        <v>126</v>
      </c>
      <c r="M52" s="20"/>
    </row>
    <row r="53" spans="1:13" s="1" customFormat="1" ht="11.25" customHeight="1" x14ac:dyDescent="0.2">
      <c r="A53" s="2"/>
      <c r="B53" s="24" t="s">
        <v>258</v>
      </c>
      <c r="C53" s="40" t="s">
        <v>176</v>
      </c>
      <c r="D53" s="40"/>
      <c r="E53" s="40"/>
      <c r="F53" s="40"/>
      <c r="G53" s="40"/>
      <c r="H53" s="64"/>
      <c r="I53"/>
      <c r="J53" s="19">
        <v>14029062</v>
      </c>
      <c r="K53" s="4" t="s">
        <v>50</v>
      </c>
      <c r="L53" s="5" t="s">
        <v>126</v>
      </c>
      <c r="M53" s="20"/>
    </row>
    <row r="54" spans="1:13" s="1" customFormat="1" ht="11.25" customHeight="1" x14ac:dyDescent="0.2">
      <c r="A54" s="2"/>
      <c r="B54" s="24" t="s">
        <v>259</v>
      </c>
      <c r="C54" s="40" t="s">
        <v>151</v>
      </c>
      <c r="D54" s="40"/>
      <c r="E54" s="40"/>
      <c r="F54" s="40"/>
      <c r="G54" s="40"/>
      <c r="H54" s="64">
        <v>2</v>
      </c>
      <c r="I54"/>
      <c r="J54" s="19">
        <v>14006099</v>
      </c>
      <c r="K54" s="4" t="s">
        <v>189</v>
      </c>
      <c r="L54" s="5" t="s">
        <v>119</v>
      </c>
      <c r="M54" s="20"/>
    </row>
    <row r="55" spans="1:13" s="1" customFormat="1" ht="11.25" customHeight="1" thickBot="1" x14ac:dyDescent="0.25">
      <c r="A55" s="2"/>
      <c r="B55" s="24" t="s">
        <v>260</v>
      </c>
      <c r="C55" s="34" t="s">
        <v>152</v>
      </c>
      <c r="D55" s="35"/>
      <c r="E55" s="35"/>
      <c r="F55" s="35"/>
      <c r="G55" s="36"/>
      <c r="H55" s="65"/>
      <c r="I55"/>
      <c r="J55" s="19">
        <v>14006100</v>
      </c>
      <c r="K55" s="4" t="s">
        <v>190</v>
      </c>
      <c r="L55" s="5" t="s">
        <v>126</v>
      </c>
      <c r="M55" s="20"/>
    </row>
    <row r="56" spans="1:13" s="1" customFormat="1" ht="11.25" customHeight="1" x14ac:dyDescent="0.2">
      <c r="A56" s="2"/>
      <c r="B56" s="26" t="s">
        <v>267</v>
      </c>
      <c r="C56" s="113" t="s">
        <v>83</v>
      </c>
      <c r="D56" s="114"/>
      <c r="E56" s="114"/>
      <c r="F56" s="114"/>
      <c r="G56" s="115"/>
      <c r="H56" s="63"/>
      <c r="I56"/>
      <c r="J56" s="19">
        <v>14026584</v>
      </c>
      <c r="K56" s="4" t="s">
        <v>117</v>
      </c>
      <c r="L56" s="5" t="s">
        <v>119</v>
      </c>
      <c r="M56" s="20"/>
    </row>
    <row r="57" spans="1:13" s="1" customFormat="1" ht="11.25" customHeight="1" thickBot="1" x14ac:dyDescent="0.25">
      <c r="A57" s="2"/>
      <c r="B57" s="27" t="s">
        <v>268</v>
      </c>
      <c r="C57" s="45" t="s">
        <v>84</v>
      </c>
      <c r="D57" s="45"/>
      <c r="E57" s="45"/>
      <c r="F57" s="45"/>
      <c r="G57" s="34"/>
      <c r="H57" s="65"/>
      <c r="I57"/>
      <c r="J57" s="19">
        <v>14028390</v>
      </c>
      <c r="K57" s="4" t="s">
        <v>118</v>
      </c>
      <c r="L57" s="5" t="s">
        <v>119</v>
      </c>
      <c r="M57" s="20"/>
    </row>
    <row r="58" spans="1:13" s="1" customFormat="1" ht="11.25" customHeight="1" thickBot="1" x14ac:dyDescent="0.25">
      <c r="A58" s="2"/>
      <c r="B58" s="28">
        <v>1989</v>
      </c>
      <c r="C58" s="43" t="s">
        <v>85</v>
      </c>
      <c r="D58" s="43"/>
      <c r="E58" s="43"/>
      <c r="F58" s="43"/>
      <c r="G58" s="44"/>
      <c r="H58" s="66"/>
      <c r="I58"/>
      <c r="J58" s="19">
        <v>14026585</v>
      </c>
      <c r="K58" s="4" t="s">
        <v>120</v>
      </c>
      <c r="L58" s="5" t="s">
        <v>119</v>
      </c>
      <c r="M58" s="20"/>
    </row>
    <row r="59" spans="1:13" s="1" customFormat="1" ht="11.25" customHeight="1" x14ac:dyDescent="0.2">
      <c r="A59" s="2"/>
      <c r="B59" s="26" t="s">
        <v>269</v>
      </c>
      <c r="C59" s="41" t="s">
        <v>86</v>
      </c>
      <c r="D59" s="41"/>
      <c r="E59" s="41"/>
      <c r="F59" s="41"/>
      <c r="G59" s="42"/>
      <c r="H59" s="63">
        <v>1</v>
      </c>
      <c r="I59"/>
      <c r="J59" s="19">
        <v>14026593</v>
      </c>
      <c r="K59" s="4" t="s">
        <v>125</v>
      </c>
      <c r="L59" s="5" t="s">
        <v>126</v>
      </c>
      <c r="M59" s="20"/>
    </row>
    <row r="60" spans="1:13" s="1" customFormat="1" ht="11.25" customHeight="1" x14ac:dyDescent="0.2">
      <c r="A60" s="2"/>
      <c r="B60" s="24" t="s">
        <v>270</v>
      </c>
      <c r="C60" s="40" t="s">
        <v>208</v>
      </c>
      <c r="D60" s="40"/>
      <c r="E60" s="40"/>
      <c r="F60" s="40"/>
      <c r="G60" s="37"/>
      <c r="H60" s="64"/>
      <c r="I60"/>
      <c r="J60" s="19">
        <v>14026613</v>
      </c>
      <c r="K60" s="4" t="s">
        <v>123</v>
      </c>
      <c r="L60" s="5" t="s">
        <v>126</v>
      </c>
      <c r="M60" s="20"/>
    </row>
    <row r="61" spans="1:13" s="1" customFormat="1" ht="11.25" customHeight="1" x14ac:dyDescent="0.2">
      <c r="A61" s="2"/>
      <c r="B61" s="24" t="s">
        <v>271</v>
      </c>
      <c r="C61" s="40" t="s">
        <v>209</v>
      </c>
      <c r="D61" s="40"/>
      <c r="E61" s="40"/>
      <c r="F61" s="40"/>
      <c r="G61" s="37"/>
      <c r="H61" s="64"/>
      <c r="I61"/>
      <c r="J61" s="19">
        <v>14026497</v>
      </c>
      <c r="K61" s="4" t="s">
        <v>22</v>
      </c>
      <c r="L61" s="5" t="s">
        <v>119</v>
      </c>
      <c r="M61" s="20"/>
    </row>
    <row r="62" spans="1:13" s="1" customFormat="1" ht="11.25" customHeight="1" x14ac:dyDescent="0.2">
      <c r="A62" s="2"/>
      <c r="B62" s="24" t="s">
        <v>272</v>
      </c>
      <c r="C62" s="150" t="s">
        <v>87</v>
      </c>
      <c r="D62" s="155"/>
      <c r="E62" s="155"/>
      <c r="F62" s="155"/>
      <c r="G62" s="156"/>
      <c r="H62" s="64"/>
      <c r="I62"/>
      <c r="J62" s="19">
        <v>14006142</v>
      </c>
      <c r="K62" s="4" t="s">
        <v>191</v>
      </c>
      <c r="L62" s="5" t="s">
        <v>126</v>
      </c>
      <c r="M62" s="20"/>
    </row>
    <row r="63" spans="1:13" s="1" customFormat="1" ht="11.25" customHeight="1" x14ac:dyDescent="0.2">
      <c r="A63" s="2"/>
      <c r="B63" s="24" t="s">
        <v>273</v>
      </c>
      <c r="C63" s="150" t="s">
        <v>88</v>
      </c>
      <c r="D63" s="155"/>
      <c r="E63" s="155"/>
      <c r="F63" s="155"/>
      <c r="G63" s="156"/>
      <c r="H63" s="64"/>
      <c r="I63"/>
      <c r="J63" s="19">
        <v>14006147</v>
      </c>
      <c r="K63" s="4" t="s">
        <v>192</v>
      </c>
      <c r="L63" s="5" t="s">
        <v>126</v>
      </c>
      <c r="M63" s="20"/>
    </row>
    <row r="64" spans="1:13" s="1" customFormat="1" ht="11.25" customHeight="1" thickBot="1" x14ac:dyDescent="0.25">
      <c r="A64" s="2"/>
      <c r="B64" s="27" t="s">
        <v>274</v>
      </c>
      <c r="C64" s="152" t="s">
        <v>89</v>
      </c>
      <c r="D64" s="153"/>
      <c r="E64" s="153"/>
      <c r="F64" s="153"/>
      <c r="G64" s="154"/>
      <c r="H64" s="65"/>
      <c r="I64"/>
      <c r="J64" s="19">
        <v>14006148</v>
      </c>
      <c r="K64" s="4" t="s">
        <v>193</v>
      </c>
      <c r="L64" s="5" t="s">
        <v>119</v>
      </c>
      <c r="M64" s="20"/>
    </row>
    <row r="65" spans="1:13" s="1" customFormat="1" ht="11.25" customHeight="1" x14ac:dyDescent="0.2">
      <c r="A65" s="2"/>
      <c r="B65" s="26" t="s">
        <v>275</v>
      </c>
      <c r="C65" s="41" t="s">
        <v>90</v>
      </c>
      <c r="D65" s="41"/>
      <c r="E65" s="41"/>
      <c r="F65" s="41"/>
      <c r="G65" s="42"/>
      <c r="H65" s="63"/>
      <c r="I65"/>
      <c r="J65" s="19">
        <v>14006139</v>
      </c>
      <c r="K65" s="4" t="s">
        <v>194</v>
      </c>
      <c r="L65" s="5" t="s">
        <v>126</v>
      </c>
      <c r="M65" s="20"/>
    </row>
    <row r="66" spans="1:13" s="1" customFormat="1" ht="11.25" customHeight="1" x14ac:dyDescent="0.2">
      <c r="A66" s="2"/>
      <c r="B66" s="24" t="s">
        <v>276</v>
      </c>
      <c r="C66" s="40" t="s">
        <v>91</v>
      </c>
      <c r="D66" s="40"/>
      <c r="E66" s="40"/>
      <c r="F66" s="40"/>
      <c r="G66" s="37"/>
      <c r="H66" s="64"/>
      <c r="I66"/>
      <c r="J66" s="19">
        <v>14006141</v>
      </c>
      <c r="K66" s="4" t="s">
        <v>195</v>
      </c>
      <c r="L66" s="5" t="s">
        <v>126</v>
      </c>
      <c r="M66" s="20"/>
    </row>
    <row r="67" spans="1:13" s="1" customFormat="1" ht="11.25" customHeight="1" x14ac:dyDescent="0.2">
      <c r="A67" s="2"/>
      <c r="B67" s="24" t="s">
        <v>277</v>
      </c>
      <c r="C67" s="40" t="s">
        <v>92</v>
      </c>
      <c r="D67" s="40"/>
      <c r="E67" s="40"/>
      <c r="F67" s="40"/>
      <c r="G67" s="37"/>
      <c r="H67" s="64"/>
      <c r="I67"/>
      <c r="J67" s="19">
        <v>14006150</v>
      </c>
      <c r="K67" s="4" t="s">
        <v>196</v>
      </c>
      <c r="L67" s="5" t="s">
        <v>126</v>
      </c>
      <c r="M67" s="20"/>
    </row>
    <row r="68" spans="1:13" s="1" customFormat="1" ht="11.25" customHeight="1" x14ac:dyDescent="0.2">
      <c r="A68" s="2"/>
      <c r="B68" s="24" t="s">
        <v>278</v>
      </c>
      <c r="C68" s="40" t="s">
        <v>93</v>
      </c>
      <c r="D68" s="40"/>
      <c r="E68" s="40"/>
      <c r="F68" s="40"/>
      <c r="G68" s="37"/>
      <c r="H68" s="64"/>
      <c r="I68"/>
      <c r="J68" s="19">
        <v>14021826</v>
      </c>
      <c r="K68" s="4" t="s">
        <v>197</v>
      </c>
      <c r="L68" s="5" t="s">
        <v>126</v>
      </c>
      <c r="M68" s="20"/>
    </row>
    <row r="69" spans="1:13" s="1" customFormat="1" ht="11.25" customHeight="1" x14ac:dyDescent="0.2">
      <c r="A69" s="2"/>
      <c r="B69" s="71" t="s">
        <v>279</v>
      </c>
      <c r="C69" s="74" t="s">
        <v>153</v>
      </c>
      <c r="D69" s="74"/>
      <c r="E69" s="74"/>
      <c r="F69" s="74"/>
      <c r="G69" s="74"/>
      <c r="H69" s="81"/>
      <c r="I69"/>
      <c r="J69" s="19">
        <v>14006146</v>
      </c>
      <c r="K69" s="4" t="s">
        <v>198</v>
      </c>
      <c r="L69" s="5" t="s">
        <v>126</v>
      </c>
      <c r="M69" s="20"/>
    </row>
    <row r="70" spans="1:13" s="1" customFormat="1" ht="11.25" customHeight="1" x14ac:dyDescent="0.2">
      <c r="A70" s="2"/>
      <c r="B70" s="71" t="s">
        <v>280</v>
      </c>
      <c r="C70" s="74" t="s">
        <v>154</v>
      </c>
      <c r="D70" s="74"/>
      <c r="E70" s="74"/>
      <c r="F70" s="74"/>
      <c r="G70" s="74"/>
      <c r="H70" s="81"/>
      <c r="I70"/>
      <c r="J70" s="19">
        <v>14030677</v>
      </c>
      <c r="K70" s="4" t="s">
        <v>199</v>
      </c>
      <c r="L70" s="5" t="s">
        <v>126</v>
      </c>
      <c r="M70" s="20"/>
    </row>
    <row r="71" spans="1:13" s="1" customFormat="1" ht="11.25" customHeight="1" x14ac:dyDescent="0.2">
      <c r="A71" s="2"/>
      <c r="B71" s="71" t="s">
        <v>281</v>
      </c>
      <c r="C71" s="74" t="s">
        <v>155</v>
      </c>
      <c r="D71" s="74"/>
      <c r="E71" s="74"/>
      <c r="F71" s="74"/>
      <c r="G71" s="74"/>
      <c r="H71" s="81"/>
      <c r="I71"/>
      <c r="J71" s="19">
        <v>14030678</v>
      </c>
      <c r="K71" s="4" t="s">
        <v>200</v>
      </c>
      <c r="L71" s="5" t="s">
        <v>126</v>
      </c>
      <c r="M71" s="20"/>
    </row>
    <row r="72" spans="1:13" s="1" customFormat="1" x14ac:dyDescent="0.2">
      <c r="A72" s="2"/>
      <c r="B72" s="71" t="s">
        <v>282</v>
      </c>
      <c r="C72" s="74" t="s">
        <v>156</v>
      </c>
      <c r="D72" s="74"/>
      <c r="E72" s="74"/>
      <c r="F72" s="74"/>
      <c r="G72" s="74"/>
      <c r="H72" s="81"/>
      <c r="I72"/>
      <c r="J72" s="19">
        <v>14030679</v>
      </c>
      <c r="K72" s="4" t="s">
        <v>201</v>
      </c>
      <c r="L72" s="5" t="s">
        <v>126</v>
      </c>
      <c r="M72" s="20"/>
    </row>
    <row r="73" spans="1:13" s="1" customFormat="1" ht="12" customHeight="1" x14ac:dyDescent="0.2">
      <c r="A73" s="2"/>
      <c r="B73" s="25" t="s">
        <v>283</v>
      </c>
      <c r="C73" s="37" t="s">
        <v>157</v>
      </c>
      <c r="D73" s="38"/>
      <c r="E73" s="38"/>
      <c r="F73" s="38"/>
      <c r="G73" s="39"/>
      <c r="H73" s="68"/>
      <c r="I73"/>
      <c r="J73" s="19">
        <v>14030676</v>
      </c>
      <c r="K73" s="4" t="s">
        <v>202</v>
      </c>
      <c r="L73" s="5" t="s">
        <v>126</v>
      </c>
      <c r="M73" s="20"/>
    </row>
    <row r="74" spans="1:13" s="1" customFormat="1" ht="13.5" thickBot="1" x14ac:dyDescent="0.25">
      <c r="A74" s="2"/>
      <c r="B74" s="27" t="s">
        <v>284</v>
      </c>
      <c r="C74" s="34" t="s">
        <v>158</v>
      </c>
      <c r="D74" s="50"/>
      <c r="E74" s="50"/>
      <c r="F74" s="50"/>
      <c r="G74" s="51"/>
      <c r="H74" s="65">
        <v>1</v>
      </c>
      <c r="I74"/>
      <c r="J74" s="90">
        <v>14006155</v>
      </c>
      <c r="K74" s="91" t="s">
        <v>203</v>
      </c>
      <c r="L74" s="92" t="s">
        <v>126</v>
      </c>
      <c r="M74" s="20"/>
    </row>
    <row r="75" spans="1:13" s="1" customFormat="1" ht="13.15" customHeight="1" x14ac:dyDescent="0.2">
      <c r="A75" s="2"/>
      <c r="B75" s="26" t="s">
        <v>285</v>
      </c>
      <c r="C75" s="122" t="s">
        <v>94</v>
      </c>
      <c r="D75" s="123"/>
      <c r="E75" s="123"/>
      <c r="F75" s="123"/>
      <c r="G75" s="124"/>
      <c r="H75" s="63"/>
      <c r="I75"/>
      <c r="J75" s="90">
        <v>14033661</v>
      </c>
      <c r="K75" s="91" t="s">
        <v>211</v>
      </c>
      <c r="L75" s="92" t="s">
        <v>126</v>
      </c>
      <c r="M75" s="20"/>
    </row>
    <row r="76" spans="1:13" s="1" customFormat="1" ht="13.5" thickBot="1" x14ac:dyDescent="0.25">
      <c r="A76" s="2"/>
      <c r="B76" s="27" t="s">
        <v>286</v>
      </c>
      <c r="C76" s="138" t="s">
        <v>95</v>
      </c>
      <c r="D76" s="139"/>
      <c r="E76" s="139"/>
      <c r="F76" s="139"/>
      <c r="G76" s="140"/>
      <c r="H76" s="65"/>
      <c r="I76"/>
      <c r="J76" s="90">
        <v>14034101</v>
      </c>
      <c r="K76" s="91" t="s">
        <v>216</v>
      </c>
      <c r="L76" s="92" t="s">
        <v>126</v>
      </c>
      <c r="M76" s="20"/>
    </row>
    <row r="77" spans="1:13" s="1" customFormat="1" ht="13.5" thickBot="1" x14ac:dyDescent="0.25">
      <c r="A77" s="2"/>
      <c r="B77" s="28">
        <v>1996</v>
      </c>
      <c r="C77" s="43" t="s">
        <v>116</v>
      </c>
      <c r="D77" s="43"/>
      <c r="E77" s="43"/>
      <c r="F77" s="43"/>
      <c r="G77" s="44"/>
      <c r="H77" s="66"/>
      <c r="I77"/>
      <c r="J77" s="90">
        <v>14033652</v>
      </c>
      <c r="K77" s="91" t="s">
        <v>212</v>
      </c>
      <c r="L77" s="92" t="s">
        <v>126</v>
      </c>
      <c r="M77" s="20"/>
    </row>
    <row r="78" spans="1:13" s="1" customFormat="1" ht="13.5" thickBot="1" x14ac:dyDescent="0.25">
      <c r="A78" s="2"/>
      <c r="B78" s="96" t="s">
        <v>317</v>
      </c>
      <c r="C78" s="181" t="s">
        <v>321</v>
      </c>
      <c r="D78" s="182"/>
      <c r="E78" s="182"/>
      <c r="F78" s="182"/>
      <c r="G78" s="183"/>
      <c r="H78" s="69"/>
      <c r="I78"/>
      <c r="J78" s="90">
        <v>14020192</v>
      </c>
      <c r="K78" s="91" t="s">
        <v>213</v>
      </c>
      <c r="L78" s="92" t="s">
        <v>119</v>
      </c>
      <c r="M78" s="20"/>
    </row>
    <row r="79" spans="1:13" s="1" customFormat="1" ht="11.25" customHeight="1" thickBot="1" x14ac:dyDescent="0.25">
      <c r="A79" s="2"/>
      <c r="B79" s="96">
        <v>1997</v>
      </c>
      <c r="C79" s="52" t="s">
        <v>115</v>
      </c>
      <c r="D79" s="52"/>
      <c r="E79" s="52"/>
      <c r="F79" s="52"/>
      <c r="G79" s="53"/>
      <c r="H79" s="69"/>
      <c r="I79"/>
      <c r="J79" s="90">
        <v>14024327</v>
      </c>
      <c r="K79" s="91" t="s">
        <v>214</v>
      </c>
      <c r="L79" s="92" t="s">
        <v>126</v>
      </c>
      <c r="M79" s="20"/>
    </row>
    <row r="80" spans="1:13" s="1" customFormat="1" ht="11.25" customHeight="1" x14ac:dyDescent="0.2">
      <c r="A80" s="2"/>
      <c r="B80" s="26" t="s">
        <v>97</v>
      </c>
      <c r="C80" s="41" t="s">
        <v>109</v>
      </c>
      <c r="D80" s="41"/>
      <c r="E80" s="41"/>
      <c r="F80" s="41"/>
      <c r="G80" s="42"/>
      <c r="H80" s="63"/>
      <c r="I80"/>
      <c r="J80" s="90">
        <v>14024326</v>
      </c>
      <c r="K80" s="91" t="s">
        <v>215</v>
      </c>
      <c r="L80" s="92" t="s">
        <v>126</v>
      </c>
      <c r="M80" s="20"/>
    </row>
    <row r="81" spans="1:13" s="1" customFormat="1" ht="11.25" customHeight="1" x14ac:dyDescent="0.2">
      <c r="A81" s="2"/>
      <c r="B81" s="24" t="s">
        <v>98</v>
      </c>
      <c r="C81" s="40" t="s">
        <v>110</v>
      </c>
      <c r="D81" s="40"/>
      <c r="E81" s="40"/>
      <c r="F81" s="40"/>
      <c r="G81" s="37"/>
      <c r="H81" s="64"/>
      <c r="I81"/>
      <c r="J81" s="90">
        <v>14020174</v>
      </c>
      <c r="K81" s="91" t="s">
        <v>217</v>
      </c>
      <c r="L81" s="92" t="s">
        <v>126</v>
      </c>
      <c r="M81" s="20"/>
    </row>
    <row r="82" spans="1:13" s="1" customFormat="1" x14ac:dyDescent="0.2">
      <c r="A82" s="2"/>
      <c r="B82" s="24" t="s">
        <v>99</v>
      </c>
      <c r="C82" s="40" t="s">
        <v>111</v>
      </c>
      <c r="D82" s="40"/>
      <c r="E82" s="40"/>
      <c r="F82" s="40"/>
      <c r="G82" s="37"/>
      <c r="H82" s="64"/>
      <c r="I82"/>
      <c r="J82" s="90">
        <v>14020175</v>
      </c>
      <c r="K82" s="91" t="s">
        <v>218</v>
      </c>
      <c r="L82" s="92" t="s">
        <v>126</v>
      </c>
      <c r="M82" s="20"/>
    </row>
    <row r="83" spans="1:13" s="1" customFormat="1" x14ac:dyDescent="0.2">
      <c r="A83" s="2"/>
      <c r="B83" s="24" t="s">
        <v>100</v>
      </c>
      <c r="C83" s="40" t="s">
        <v>112</v>
      </c>
      <c r="D83" s="40"/>
      <c r="E83" s="40"/>
      <c r="F83" s="40"/>
      <c r="G83" s="37"/>
      <c r="H83" s="64"/>
      <c r="I83"/>
      <c r="J83" s="90">
        <v>14034172</v>
      </c>
      <c r="K83" s="91" t="s">
        <v>219</v>
      </c>
      <c r="L83" s="92" t="s">
        <v>126</v>
      </c>
      <c r="M83" s="20"/>
    </row>
    <row r="84" spans="1:13" s="1" customFormat="1" x14ac:dyDescent="0.2">
      <c r="A84" s="2"/>
      <c r="B84" s="24" t="s">
        <v>101</v>
      </c>
      <c r="C84" s="40" t="s">
        <v>113</v>
      </c>
      <c r="D84" s="40"/>
      <c r="E84" s="40"/>
      <c r="F84" s="40"/>
      <c r="G84" s="37"/>
      <c r="H84" s="64"/>
      <c r="I84"/>
      <c r="J84" s="90">
        <v>14034173</v>
      </c>
      <c r="K84" s="91" t="s">
        <v>220</v>
      </c>
      <c r="L84" s="92" t="s">
        <v>126</v>
      </c>
      <c r="M84" s="20"/>
    </row>
    <row r="85" spans="1:13" s="1" customFormat="1" ht="13.5" thickBot="1" x14ac:dyDescent="0.25">
      <c r="A85" s="2"/>
      <c r="B85" s="27" t="s">
        <v>102</v>
      </c>
      <c r="C85" s="45" t="s">
        <v>114</v>
      </c>
      <c r="D85" s="45"/>
      <c r="E85" s="45"/>
      <c r="F85" s="45"/>
      <c r="G85" s="34"/>
      <c r="H85" s="65"/>
      <c r="I85"/>
      <c r="J85" s="90">
        <v>14034374</v>
      </c>
      <c r="K85" s="91" t="s">
        <v>221</v>
      </c>
      <c r="L85" s="92" t="s">
        <v>126</v>
      </c>
      <c r="M85" s="20"/>
    </row>
    <row r="86" spans="1:13" s="1" customFormat="1" x14ac:dyDescent="0.2">
      <c r="A86" s="2"/>
      <c r="B86" s="32" t="s">
        <v>103</v>
      </c>
      <c r="C86" s="48" t="s">
        <v>107</v>
      </c>
      <c r="D86" s="48"/>
      <c r="E86" s="48"/>
      <c r="F86" s="48"/>
      <c r="G86" s="49"/>
      <c r="H86" s="67"/>
      <c r="I86"/>
      <c r="J86" s="90">
        <v>14019470</v>
      </c>
      <c r="K86" s="91" t="s">
        <v>222</v>
      </c>
      <c r="L86" s="92" t="s">
        <v>126</v>
      </c>
      <c r="M86" s="20"/>
    </row>
    <row r="87" spans="1:13" s="1" customFormat="1" x14ac:dyDescent="0.2">
      <c r="A87" s="2"/>
      <c r="B87" s="24" t="s">
        <v>104</v>
      </c>
      <c r="C87" s="40" t="s">
        <v>106</v>
      </c>
      <c r="D87" s="40"/>
      <c r="E87" s="40"/>
      <c r="F87" s="40"/>
      <c r="G87" s="37"/>
      <c r="H87" s="64"/>
      <c r="I87"/>
      <c r="J87" s="90">
        <v>14034167</v>
      </c>
      <c r="K87" s="91" t="s">
        <v>223</v>
      </c>
      <c r="L87" s="92" t="s">
        <v>126</v>
      </c>
      <c r="M87" s="20"/>
    </row>
    <row r="88" spans="1:13" s="1" customFormat="1" ht="23.45" customHeight="1" thickBot="1" x14ac:dyDescent="0.25">
      <c r="A88" s="2"/>
      <c r="B88" s="25" t="s">
        <v>105</v>
      </c>
      <c r="C88" s="46" t="s">
        <v>108</v>
      </c>
      <c r="D88" s="46"/>
      <c r="E88" s="46"/>
      <c r="F88" s="46"/>
      <c r="G88" s="47"/>
      <c r="H88" s="68"/>
      <c r="I88"/>
      <c r="J88" s="90">
        <v>14034168</v>
      </c>
      <c r="K88" s="91" t="s">
        <v>224</v>
      </c>
      <c r="L88" s="92" t="s">
        <v>126</v>
      </c>
      <c r="M88" s="20"/>
    </row>
    <row r="89" spans="1:13" s="1" customFormat="1" ht="23.45" customHeight="1" thickBot="1" x14ac:dyDescent="0.25">
      <c r="A89" s="2"/>
      <c r="B89" s="77" t="s">
        <v>261</v>
      </c>
      <c r="C89" s="196" t="s">
        <v>169</v>
      </c>
      <c r="D89" s="197"/>
      <c r="E89" s="197"/>
      <c r="F89" s="197"/>
      <c r="G89" s="198"/>
      <c r="H89" s="78"/>
      <c r="I89"/>
      <c r="J89" s="93">
        <v>14034169</v>
      </c>
      <c r="K89" s="94" t="s">
        <v>225</v>
      </c>
      <c r="L89" s="95" t="s">
        <v>126</v>
      </c>
      <c r="M89" s="21"/>
    </row>
    <row r="90" spans="1:13" s="1" customFormat="1" ht="28.9" customHeight="1" x14ac:dyDescent="0.2">
      <c r="A90" s="2"/>
      <c r="B90" s="79" t="s">
        <v>262</v>
      </c>
      <c r="C90" s="178" t="s">
        <v>170</v>
      </c>
      <c r="D90" s="179"/>
      <c r="E90" s="179"/>
      <c r="F90" s="179"/>
      <c r="G90" s="180"/>
      <c r="H90" s="80">
        <v>1</v>
      </c>
      <c r="I90"/>
      <c r="J90" s="10"/>
      <c r="K90" s="10"/>
      <c r="L90" s="10"/>
      <c r="M90" s="10"/>
    </row>
    <row r="91" spans="1:13" s="1" customFormat="1" ht="27" customHeight="1" x14ac:dyDescent="0.2">
      <c r="A91" s="2"/>
      <c r="B91" s="79" t="s">
        <v>263</v>
      </c>
      <c r="C91" s="178" t="s">
        <v>171</v>
      </c>
      <c r="D91" s="179"/>
      <c r="E91" s="179"/>
      <c r="F91" s="179"/>
      <c r="G91" s="180"/>
      <c r="H91" s="80"/>
      <c r="I91"/>
      <c r="J91" s="10"/>
      <c r="K91" s="10"/>
      <c r="L91" s="10"/>
      <c r="M91" s="10"/>
    </row>
    <row r="92" spans="1:13" s="1" customFormat="1" ht="25.9" customHeight="1" x14ac:dyDescent="0.2">
      <c r="A92" s="2"/>
      <c r="B92" s="79" t="s">
        <v>264</v>
      </c>
      <c r="C92" s="178" t="s">
        <v>172</v>
      </c>
      <c r="D92" s="179"/>
      <c r="E92" s="179"/>
      <c r="F92" s="179"/>
      <c r="G92" s="180"/>
      <c r="H92" s="80"/>
      <c r="I92"/>
      <c r="J92" s="10"/>
      <c r="K92" s="10"/>
      <c r="L92" s="10"/>
      <c r="M92" s="10"/>
    </row>
    <row r="93" spans="1:13" s="1" customFormat="1" ht="16.149999999999999" customHeight="1" x14ac:dyDescent="0.2">
      <c r="A93" s="2"/>
      <c r="B93" s="79" t="s">
        <v>265</v>
      </c>
      <c r="C93" s="178" t="s">
        <v>173</v>
      </c>
      <c r="D93" s="179"/>
      <c r="E93" s="179"/>
      <c r="F93" s="179"/>
      <c r="G93" s="180"/>
      <c r="H93" s="80"/>
      <c r="I93"/>
      <c r="J93" s="10"/>
      <c r="K93" s="10"/>
      <c r="L93" s="10"/>
      <c r="M93" s="10"/>
    </row>
    <row r="94" spans="1:13" s="1" customFormat="1" ht="37.9" customHeight="1" x14ac:dyDescent="0.2">
      <c r="A94" s="2"/>
      <c r="B94" s="97" t="s">
        <v>266</v>
      </c>
      <c r="C94" s="178" t="s">
        <v>174</v>
      </c>
      <c r="D94" s="179"/>
      <c r="E94" s="179"/>
      <c r="F94" s="179"/>
      <c r="G94" s="180"/>
      <c r="H94" s="98"/>
      <c r="I94"/>
      <c r="J94" s="10"/>
      <c r="K94" s="10"/>
      <c r="L94" s="10"/>
      <c r="M94" s="10"/>
    </row>
    <row r="95" spans="1:13" s="1" customFormat="1" ht="24.6" customHeight="1" thickBot="1" x14ac:dyDescent="0.25">
      <c r="A95" s="2"/>
      <c r="B95" s="97" t="s">
        <v>316</v>
      </c>
      <c r="C95" s="184" t="s">
        <v>318</v>
      </c>
      <c r="D95" s="185"/>
      <c r="E95" s="185"/>
      <c r="F95" s="185"/>
      <c r="G95" s="186"/>
      <c r="H95" s="98"/>
      <c r="I95"/>
      <c r="J95" s="10"/>
      <c r="K95" s="10"/>
      <c r="L95" s="10"/>
      <c r="M95" s="10"/>
    </row>
    <row r="96" spans="1:13" s="1" customFormat="1" x14ac:dyDescent="0.2">
      <c r="A96" s="2"/>
      <c r="B96" s="26" t="s">
        <v>306</v>
      </c>
      <c r="C96" s="109" t="s">
        <v>167</v>
      </c>
      <c r="D96" s="110"/>
      <c r="E96" s="110"/>
      <c r="F96" s="110"/>
      <c r="G96" s="110"/>
      <c r="H96" s="82"/>
      <c r="I96"/>
      <c r="J96" s="10"/>
      <c r="K96" s="10"/>
      <c r="L96" s="10"/>
      <c r="M96" s="10"/>
    </row>
    <row r="97" spans="1:13" s="1" customFormat="1" ht="16.899999999999999" customHeight="1" x14ac:dyDescent="0.2">
      <c r="A97" s="2"/>
      <c r="B97" s="24" t="s">
        <v>307</v>
      </c>
      <c r="C97" s="111" t="s">
        <v>168</v>
      </c>
      <c r="D97" s="112"/>
      <c r="E97" s="112"/>
      <c r="F97" s="112"/>
      <c r="G97" s="112"/>
      <c r="H97" s="83"/>
      <c r="I97"/>
      <c r="J97" s="10"/>
      <c r="K97" s="10"/>
      <c r="L97" s="10"/>
      <c r="M97" s="10"/>
    </row>
    <row r="98" spans="1:13" s="1" customFormat="1" ht="13.15" customHeight="1" x14ac:dyDescent="0.2">
      <c r="A98" s="2"/>
      <c r="B98" s="24" t="s">
        <v>308</v>
      </c>
      <c r="C98" s="193" t="s">
        <v>312</v>
      </c>
      <c r="D98" s="194"/>
      <c r="E98" s="194"/>
      <c r="F98" s="194"/>
      <c r="G98" s="195"/>
      <c r="H98" s="83"/>
      <c r="I98"/>
      <c r="J98" s="10"/>
      <c r="K98" s="10"/>
      <c r="L98" s="10"/>
      <c r="M98" s="10"/>
    </row>
    <row r="99" spans="1:13" s="1" customFormat="1" ht="13.15" customHeight="1" x14ac:dyDescent="0.2">
      <c r="A99" s="2"/>
      <c r="B99" s="24" t="s">
        <v>309</v>
      </c>
      <c r="C99" s="193" t="s">
        <v>313</v>
      </c>
      <c r="D99" s="194"/>
      <c r="E99" s="194"/>
      <c r="F99" s="194"/>
      <c r="G99" s="195"/>
      <c r="H99" s="83"/>
      <c r="I99"/>
      <c r="J99" s="10"/>
      <c r="K99" s="10"/>
      <c r="L99" s="10"/>
      <c r="M99" s="10"/>
    </row>
    <row r="100" spans="1:13" s="1" customFormat="1" ht="13.9" customHeight="1" x14ac:dyDescent="0.2">
      <c r="A100" s="2"/>
      <c r="B100" s="24" t="s">
        <v>311</v>
      </c>
      <c r="C100" s="193" t="s">
        <v>314</v>
      </c>
      <c r="D100" s="194"/>
      <c r="E100" s="194"/>
      <c r="F100" s="194"/>
      <c r="G100" s="195"/>
      <c r="H100" s="83"/>
      <c r="I100"/>
      <c r="J100" s="10"/>
      <c r="K100" s="10"/>
      <c r="L100" s="10"/>
      <c r="M100" s="10"/>
    </row>
    <row r="101" spans="1:13" s="1" customFormat="1" ht="15.6" customHeight="1" thickBot="1" x14ac:dyDescent="0.25">
      <c r="A101" s="2"/>
      <c r="B101" s="27" t="s">
        <v>310</v>
      </c>
      <c r="C101" s="187" t="s">
        <v>315</v>
      </c>
      <c r="D101" s="188"/>
      <c r="E101" s="188"/>
      <c r="F101" s="188"/>
      <c r="G101" s="189"/>
      <c r="H101" s="84"/>
      <c r="I101"/>
      <c r="J101" s="10"/>
      <c r="K101" s="10"/>
      <c r="L101" s="10"/>
      <c r="M101" s="10"/>
    </row>
    <row r="102" spans="1:13" s="1" customFormat="1" x14ac:dyDescent="0.2">
      <c r="A102" s="2"/>
      <c r="B102" s="32" t="s">
        <v>287</v>
      </c>
      <c r="C102" s="99" t="s">
        <v>210</v>
      </c>
      <c r="D102" s="99"/>
      <c r="E102" s="99"/>
      <c r="F102" s="99"/>
      <c r="G102" s="99"/>
      <c r="H102" s="100"/>
      <c r="I102"/>
      <c r="J102" s="10"/>
      <c r="K102" s="10"/>
      <c r="L102" s="10"/>
      <c r="M102" s="10"/>
    </row>
    <row r="103" spans="1:13" s="1" customFormat="1" x14ac:dyDescent="0.2">
      <c r="A103" s="2"/>
      <c r="B103" s="24" t="s">
        <v>288</v>
      </c>
      <c r="C103" s="86" t="s">
        <v>159</v>
      </c>
      <c r="D103" s="86"/>
      <c r="E103" s="86"/>
      <c r="F103" s="86"/>
      <c r="G103" s="86"/>
      <c r="H103" s="87"/>
      <c r="I103"/>
      <c r="J103" s="10"/>
      <c r="K103" s="10"/>
      <c r="L103" s="10"/>
      <c r="M103" s="10"/>
    </row>
    <row r="104" spans="1:13" s="1" customFormat="1" x14ac:dyDescent="0.2">
      <c r="A104" s="2"/>
      <c r="B104" s="24" t="s">
        <v>289</v>
      </c>
      <c r="C104" s="86" t="s">
        <v>160</v>
      </c>
      <c r="D104" s="86"/>
      <c r="E104" s="86"/>
      <c r="F104" s="86"/>
      <c r="G104" s="86"/>
      <c r="H104" s="87"/>
      <c r="I104"/>
      <c r="J104" s="10"/>
      <c r="K104" s="10"/>
      <c r="L104" s="10"/>
      <c r="M104" s="10"/>
    </row>
    <row r="105" spans="1:13" s="1" customFormat="1" x14ac:dyDescent="0.2">
      <c r="A105" s="2"/>
      <c r="B105" s="24" t="s">
        <v>290</v>
      </c>
      <c r="C105" s="86" t="s">
        <v>161</v>
      </c>
      <c r="D105" s="86"/>
      <c r="E105" s="86"/>
      <c r="F105" s="86"/>
      <c r="G105" s="86"/>
      <c r="H105" s="87"/>
      <c r="I105"/>
      <c r="J105" s="10"/>
      <c r="K105" s="10"/>
      <c r="L105" s="10"/>
      <c r="M105" s="10"/>
    </row>
    <row r="106" spans="1:13" s="1" customFormat="1" x14ac:dyDescent="0.2">
      <c r="A106" s="2"/>
      <c r="B106" s="24" t="s">
        <v>291</v>
      </c>
      <c r="C106" s="86" t="s">
        <v>162</v>
      </c>
      <c r="D106" s="86"/>
      <c r="E106" s="86"/>
      <c r="F106" s="86"/>
      <c r="G106" s="86"/>
      <c r="H106" s="87"/>
      <c r="I106"/>
      <c r="J106" s="10"/>
      <c r="K106" s="10"/>
      <c r="L106" s="10"/>
      <c r="M106" s="10"/>
    </row>
    <row r="107" spans="1:13" s="1" customFormat="1" x14ac:dyDescent="0.2">
      <c r="A107" s="2"/>
      <c r="B107" s="24" t="s">
        <v>292</v>
      </c>
      <c r="C107" s="86" t="s">
        <v>163</v>
      </c>
      <c r="D107" s="86"/>
      <c r="E107" s="86"/>
      <c r="F107" s="86"/>
      <c r="G107" s="86"/>
      <c r="H107" s="87"/>
      <c r="I107"/>
      <c r="J107" s="10"/>
      <c r="K107" s="10"/>
      <c r="L107" s="10"/>
      <c r="M107" s="10"/>
    </row>
    <row r="108" spans="1:13" s="1" customFormat="1" ht="21.6" customHeight="1" thickBot="1" x14ac:dyDescent="0.25">
      <c r="A108" s="2"/>
      <c r="B108" s="27" t="s">
        <v>293</v>
      </c>
      <c r="C108" s="88" t="s">
        <v>164</v>
      </c>
      <c r="D108" s="88"/>
      <c r="E108" s="88"/>
      <c r="F108" s="88"/>
      <c r="G108" s="88"/>
      <c r="H108" s="89"/>
      <c r="I108"/>
      <c r="J108" s="10"/>
      <c r="K108" s="10"/>
      <c r="L108" s="10"/>
      <c r="M108" s="10"/>
    </row>
    <row r="109" spans="1:13" s="1" customFormat="1" ht="22.9" customHeight="1" x14ac:dyDescent="0.2">
      <c r="A109" s="2"/>
      <c r="B109" s="32" t="s">
        <v>294</v>
      </c>
      <c r="C109" s="122" t="s">
        <v>165</v>
      </c>
      <c r="D109" s="123"/>
      <c r="E109" s="123"/>
      <c r="F109" s="123"/>
      <c r="G109" s="124"/>
      <c r="H109" s="67"/>
      <c r="I109"/>
      <c r="J109" s="10"/>
      <c r="K109" s="10"/>
      <c r="L109" s="10"/>
      <c r="M109" s="10"/>
    </row>
    <row r="110" spans="1:13" s="1" customFormat="1" ht="25.15" customHeight="1" thickBot="1" x14ac:dyDescent="0.25">
      <c r="A110" s="2"/>
      <c r="B110" s="27" t="s">
        <v>295</v>
      </c>
      <c r="C110" s="138" t="s">
        <v>166</v>
      </c>
      <c r="D110" s="139"/>
      <c r="E110" s="139"/>
      <c r="F110" s="139"/>
      <c r="G110" s="140"/>
      <c r="H110" s="65"/>
      <c r="I110"/>
      <c r="J110" s="10"/>
      <c r="K110" s="10"/>
      <c r="L110" s="10"/>
      <c r="M110" s="10"/>
    </row>
    <row r="111" spans="1:13" s="1" customFormat="1" x14ac:dyDescent="0.2">
      <c r="A111" s="2"/>
      <c r="B111" s="26" t="s">
        <v>300</v>
      </c>
      <c r="C111" s="86" t="s">
        <v>296</v>
      </c>
      <c r="D111" s="86"/>
      <c r="E111" s="86"/>
      <c r="F111" s="86"/>
      <c r="G111" s="86"/>
      <c r="H111" s="85"/>
      <c r="I111"/>
      <c r="J111" s="10"/>
      <c r="K111" s="10"/>
      <c r="L111" s="10"/>
      <c r="M111" s="10"/>
    </row>
    <row r="112" spans="1:13" s="1" customFormat="1" ht="19.899999999999999" customHeight="1" x14ac:dyDescent="0.2">
      <c r="A112" s="2"/>
      <c r="B112" s="24" t="s">
        <v>301</v>
      </c>
      <c r="C112" s="103" t="s">
        <v>297</v>
      </c>
      <c r="D112" s="104"/>
      <c r="E112" s="104"/>
      <c r="F112" s="104"/>
      <c r="G112" s="105"/>
      <c r="H112" s="87"/>
      <c r="I112"/>
      <c r="J112" s="10"/>
      <c r="K112" s="10"/>
      <c r="L112" s="10"/>
      <c r="M112" s="10"/>
    </row>
    <row r="113" spans="1:13" s="1" customFormat="1" ht="19.899999999999999" customHeight="1" x14ac:dyDescent="0.2">
      <c r="A113" s="2"/>
      <c r="B113" s="24" t="s">
        <v>302</v>
      </c>
      <c r="C113" s="103" t="s">
        <v>298</v>
      </c>
      <c r="D113" s="104"/>
      <c r="E113" s="104"/>
      <c r="F113" s="104"/>
      <c r="G113" s="105"/>
      <c r="H113" s="87"/>
      <c r="I113"/>
      <c r="J113" s="10"/>
      <c r="K113" s="10"/>
      <c r="L113" s="10"/>
      <c r="M113" s="10"/>
    </row>
    <row r="114" spans="1:13" s="1" customFormat="1" ht="14.45" customHeight="1" thickBot="1" x14ac:dyDescent="0.25">
      <c r="A114" s="2"/>
      <c r="B114" s="27" t="s">
        <v>303</v>
      </c>
      <c r="C114" s="106" t="s">
        <v>299</v>
      </c>
      <c r="D114" s="107"/>
      <c r="E114" s="107"/>
      <c r="F114" s="107"/>
      <c r="G114" s="108"/>
      <c r="H114" s="89"/>
      <c r="I114"/>
      <c r="J114" s="10"/>
      <c r="K114" s="10"/>
      <c r="L114" s="10"/>
      <c r="M114" s="10"/>
    </row>
    <row r="115" spans="1:13" s="1" customFormat="1" ht="14.45" customHeight="1" x14ac:dyDescent="0.2">
      <c r="A115" s="2"/>
      <c r="B115" s="26" t="s">
        <v>304</v>
      </c>
      <c r="C115" s="190" t="s">
        <v>319</v>
      </c>
      <c r="D115" s="191"/>
      <c r="E115" s="191"/>
      <c r="F115" s="191"/>
      <c r="G115" s="192"/>
      <c r="H115" s="101"/>
      <c r="I115"/>
      <c r="J115" s="10"/>
      <c r="K115" s="10"/>
      <c r="L115" s="10"/>
      <c r="M115" s="10"/>
    </row>
    <row r="116" spans="1:13" s="1" customFormat="1" ht="13.9" customHeight="1" thickBot="1" x14ac:dyDescent="0.25">
      <c r="A116" s="2"/>
      <c r="B116" s="27" t="s">
        <v>305</v>
      </c>
      <c r="C116" s="175" t="s">
        <v>320</v>
      </c>
      <c r="D116" s="176"/>
      <c r="E116" s="176"/>
      <c r="F116" s="176"/>
      <c r="G116" s="177"/>
      <c r="H116" s="102"/>
      <c r="I116"/>
      <c r="J116" s="10"/>
      <c r="K116" s="10"/>
      <c r="L116" s="10"/>
      <c r="M116" s="10"/>
    </row>
    <row r="117" spans="1:13" s="1" customFormat="1" ht="24" customHeight="1" x14ac:dyDescent="0.2">
      <c r="A117" s="2"/>
      <c r="I117"/>
      <c r="J117" s="10"/>
      <c r="K117" s="10"/>
      <c r="L117" s="10"/>
      <c r="M117" s="10"/>
    </row>
    <row r="118" spans="1:13" s="1" customFormat="1" ht="29.45" customHeight="1" x14ac:dyDescent="0.2">
      <c r="A118" s="2"/>
      <c r="I118"/>
      <c r="J118" s="10"/>
      <c r="K118" s="10"/>
      <c r="L118" s="10"/>
      <c r="M118" s="10"/>
    </row>
    <row r="119" spans="1:13" s="1" customFormat="1" x14ac:dyDescent="0.2">
      <c r="A119" s="2"/>
      <c r="I119"/>
      <c r="J119" s="10"/>
      <c r="K119" s="10"/>
      <c r="L119" s="10"/>
      <c r="M119" s="10"/>
    </row>
    <row r="120" spans="1:13" s="1" customFormat="1" ht="12" customHeight="1" x14ac:dyDescent="0.2">
      <c r="A120" s="2"/>
      <c r="B120" s="6"/>
      <c r="C120" s="7"/>
      <c r="D120" s="8"/>
      <c r="E120" s="8"/>
      <c r="F120" s="8"/>
      <c r="G120" s="8"/>
      <c r="H120" s="8"/>
      <c r="I120"/>
      <c r="J120" s="10"/>
      <c r="K120" s="10"/>
      <c r="L120" s="10"/>
      <c r="M120" s="10"/>
    </row>
    <row r="121" spans="1:13" s="1" customFormat="1" ht="12" customHeight="1" x14ac:dyDescent="0.2">
      <c r="A121" s="2"/>
      <c r="B121" s="6"/>
      <c r="C121" s="7"/>
      <c r="D121" s="8"/>
      <c r="E121" s="8"/>
      <c r="F121" s="8"/>
      <c r="G121" s="8"/>
      <c r="H121" s="8"/>
      <c r="I121"/>
      <c r="J121" s="10"/>
      <c r="K121" s="10"/>
      <c r="L121" s="10"/>
      <c r="M121" s="10"/>
    </row>
    <row r="122" spans="1:13" s="1" customFormat="1" ht="12" customHeight="1" x14ac:dyDescent="0.2">
      <c r="A122" s="2"/>
      <c r="B122" s="6"/>
      <c r="C122" s="7"/>
      <c r="D122" s="8"/>
      <c r="E122" s="8"/>
      <c r="F122" s="8"/>
      <c r="G122" s="8"/>
      <c r="H122" s="8"/>
      <c r="I122"/>
      <c r="J122" s="10"/>
      <c r="K122" s="10"/>
      <c r="L122" s="10"/>
      <c r="M122" s="10"/>
    </row>
    <row r="123" spans="1:13" s="1" customFormat="1" x14ac:dyDescent="0.2">
      <c r="A123" s="2"/>
      <c r="B123" s="6"/>
      <c r="C123" s="7"/>
      <c r="D123" s="8"/>
      <c r="E123" s="8"/>
      <c r="F123" s="8"/>
      <c r="G123" s="8"/>
      <c r="H123" s="8"/>
      <c r="I123"/>
      <c r="J123" s="10"/>
      <c r="K123" s="10"/>
      <c r="L123" s="10"/>
      <c r="M123" s="10"/>
    </row>
    <row r="124" spans="1:13" s="1" customFormat="1" x14ac:dyDescent="0.2">
      <c r="A124" s="2"/>
      <c r="B124" s="6"/>
      <c r="C124" s="7"/>
      <c r="D124" s="8"/>
      <c r="E124" s="8"/>
      <c r="F124" s="8"/>
      <c r="G124" s="8"/>
      <c r="H124" s="8"/>
      <c r="I124"/>
      <c r="J124" s="10"/>
      <c r="K124" s="10"/>
      <c r="L124" s="10"/>
      <c r="M124" s="10"/>
    </row>
    <row r="125" spans="1:13" s="1" customFormat="1" x14ac:dyDescent="0.2">
      <c r="A125" s="2"/>
      <c r="B125" s="6"/>
      <c r="C125" s="7"/>
      <c r="D125" s="8"/>
      <c r="E125" s="8"/>
      <c r="F125" s="8"/>
      <c r="G125" s="8"/>
      <c r="H125" s="8"/>
      <c r="I125"/>
      <c r="J125" s="10"/>
      <c r="K125" s="10"/>
      <c r="L125" s="10"/>
      <c r="M125" s="10"/>
    </row>
    <row r="126" spans="1:13" s="1" customFormat="1" x14ac:dyDescent="0.2">
      <c r="A126" s="2"/>
      <c r="B126" s="6"/>
      <c r="C126" s="7"/>
      <c r="D126" s="8"/>
      <c r="E126" s="8"/>
      <c r="F126" s="8"/>
      <c r="G126" s="8"/>
      <c r="H126" s="8"/>
      <c r="I126"/>
      <c r="J126" s="10"/>
      <c r="K126" s="10"/>
      <c r="L126" s="10"/>
      <c r="M126" s="10"/>
    </row>
    <row r="127" spans="1:13" s="1" customFormat="1" x14ac:dyDescent="0.2">
      <c r="A127" s="2"/>
      <c r="B127" s="6"/>
      <c r="C127" s="7"/>
      <c r="D127" s="8"/>
      <c r="E127" s="8"/>
      <c r="F127" s="8"/>
      <c r="G127" s="8"/>
      <c r="H127" s="8"/>
      <c r="I127"/>
      <c r="J127" s="10"/>
      <c r="K127" s="10"/>
      <c r="L127" s="10"/>
      <c r="M127" s="10"/>
    </row>
    <row r="128" spans="1:13" s="1" customFormat="1" x14ac:dyDescent="0.2">
      <c r="A128" s="2"/>
      <c r="B128" s="6"/>
      <c r="C128" s="7"/>
      <c r="D128" s="8"/>
      <c r="E128" s="8"/>
      <c r="F128" s="8"/>
      <c r="G128" s="8"/>
      <c r="H128" s="8"/>
      <c r="I128"/>
      <c r="J128" s="10"/>
      <c r="K128" s="10"/>
      <c r="L128" s="10"/>
      <c r="M128" s="10"/>
    </row>
    <row r="129" spans="1:13" s="1" customFormat="1" x14ac:dyDescent="0.2">
      <c r="A129" s="2"/>
      <c r="B129" s="6"/>
      <c r="C129" s="7"/>
      <c r="D129" s="8"/>
      <c r="E129" s="8"/>
      <c r="F129" s="8"/>
      <c r="G129" s="8"/>
      <c r="H129" s="8"/>
      <c r="I129"/>
      <c r="J129" s="10"/>
      <c r="K129" s="10"/>
      <c r="L129" s="10"/>
      <c r="M129" s="10"/>
    </row>
    <row r="130" spans="1:13" s="1" customFormat="1" x14ac:dyDescent="0.2">
      <c r="B130" s="6"/>
      <c r="C130" s="7"/>
      <c r="D130" s="8"/>
      <c r="E130" s="8"/>
      <c r="F130" s="8"/>
      <c r="G130" s="8"/>
      <c r="H130" s="8"/>
      <c r="I130"/>
      <c r="J130" s="10"/>
      <c r="K130" s="10"/>
      <c r="L130" s="10"/>
      <c r="M130" s="10"/>
    </row>
    <row r="131" spans="1:13" s="1" customFormat="1" x14ac:dyDescent="0.2">
      <c r="B131" s="6"/>
      <c r="C131" s="7"/>
      <c r="D131" s="8"/>
      <c r="E131" s="8"/>
      <c r="F131" s="8"/>
      <c r="G131" s="8"/>
      <c r="H131" s="8"/>
      <c r="I131"/>
      <c r="J131" s="10"/>
      <c r="K131" s="10"/>
      <c r="L131" s="10"/>
      <c r="M131" s="10"/>
    </row>
    <row r="132" spans="1:13" s="1" customFormat="1" x14ac:dyDescent="0.2">
      <c r="B132" s="6"/>
      <c r="C132" s="7"/>
      <c r="D132" s="8"/>
      <c r="E132" s="8"/>
      <c r="F132" s="8"/>
      <c r="G132" s="8"/>
      <c r="H132" s="8"/>
      <c r="I132"/>
      <c r="J132" s="10"/>
      <c r="K132" s="10"/>
      <c r="L132" s="10"/>
      <c r="M132" s="10"/>
    </row>
    <row r="133" spans="1:13" s="1" customFormat="1" x14ac:dyDescent="0.2">
      <c r="B133" s="6"/>
      <c r="C133" s="7"/>
      <c r="D133" s="8"/>
      <c r="E133" s="8"/>
      <c r="F133" s="8"/>
      <c r="G133" s="8"/>
      <c r="H133" s="8"/>
      <c r="I133"/>
      <c r="J133" s="10"/>
      <c r="K133" s="10"/>
      <c r="L133" s="10"/>
      <c r="M133" s="10"/>
    </row>
    <row r="134" spans="1:13" s="1" customFormat="1" x14ac:dyDescent="0.2">
      <c r="B134" s="6"/>
      <c r="C134" s="7"/>
      <c r="D134" s="8"/>
      <c r="E134" s="8"/>
      <c r="F134" s="8"/>
      <c r="G134" s="8"/>
      <c r="H134" s="8"/>
      <c r="I134"/>
      <c r="J134" s="10"/>
      <c r="K134" s="10"/>
      <c r="L134" s="10"/>
      <c r="M134" s="10"/>
    </row>
    <row r="135" spans="1:13" s="1" customFormat="1" x14ac:dyDescent="0.2">
      <c r="B135" s="6"/>
      <c r="C135" s="7"/>
      <c r="D135" s="8"/>
      <c r="E135" s="8"/>
      <c r="F135" s="8"/>
      <c r="G135" s="8"/>
      <c r="H135" s="8"/>
      <c r="I135"/>
      <c r="J135" s="10"/>
      <c r="K135" s="10"/>
      <c r="L135" s="10"/>
      <c r="M135" s="10"/>
    </row>
    <row r="136" spans="1:13" s="1" customFormat="1" x14ac:dyDescent="0.2">
      <c r="B136" s="6"/>
      <c r="C136" s="7"/>
      <c r="D136" s="8"/>
      <c r="E136" s="8"/>
      <c r="F136" s="8"/>
      <c r="G136" s="8"/>
      <c r="H136" s="8"/>
      <c r="I136"/>
      <c r="J136" s="10"/>
      <c r="K136" s="10"/>
      <c r="L136" s="10"/>
      <c r="M136" s="10"/>
    </row>
    <row r="137" spans="1:13" s="1" customFormat="1" x14ac:dyDescent="0.2">
      <c r="B137" s="6"/>
      <c r="C137" s="7"/>
      <c r="D137" s="8"/>
      <c r="E137" s="8"/>
      <c r="F137" s="8"/>
      <c r="G137" s="8"/>
      <c r="H137" s="8"/>
      <c r="I137"/>
      <c r="J137" s="10"/>
      <c r="K137" s="10"/>
      <c r="L137" s="10"/>
      <c r="M137" s="10"/>
    </row>
    <row r="138" spans="1:13" s="1" customFormat="1" x14ac:dyDescent="0.2">
      <c r="B138" s="6"/>
      <c r="C138" s="7"/>
      <c r="D138" s="8"/>
      <c r="E138" s="8"/>
      <c r="F138" s="8"/>
      <c r="G138" s="8"/>
      <c r="H138" s="8"/>
      <c r="I138"/>
      <c r="J138" s="10"/>
      <c r="K138" s="10"/>
      <c r="L138" s="10"/>
      <c r="M138" s="10"/>
    </row>
    <row r="139" spans="1:13" s="1" customFormat="1" x14ac:dyDescent="0.2">
      <c r="B139" s="6"/>
      <c r="C139" s="7"/>
      <c r="D139" s="8"/>
      <c r="E139" s="8"/>
      <c r="F139" s="8"/>
      <c r="G139" s="8"/>
      <c r="H139" s="8"/>
      <c r="I139"/>
      <c r="J139" s="10"/>
      <c r="K139" s="10"/>
      <c r="L139" s="10"/>
      <c r="M139" s="10"/>
    </row>
    <row r="140" spans="1:13" s="1" customFormat="1" x14ac:dyDescent="0.2">
      <c r="B140" s="6"/>
      <c r="C140" s="7"/>
      <c r="D140" s="8"/>
      <c r="E140" s="8"/>
      <c r="F140" s="8"/>
      <c r="G140" s="8"/>
      <c r="H140" s="8"/>
      <c r="I140"/>
      <c r="J140" s="10"/>
      <c r="K140" s="10"/>
      <c r="L140" s="10"/>
      <c r="M140" s="10"/>
    </row>
    <row r="141" spans="1:13" s="1" customFormat="1" x14ac:dyDescent="0.2">
      <c r="B141" s="6"/>
      <c r="C141" s="7"/>
      <c r="D141" s="8"/>
      <c r="E141" s="8"/>
      <c r="F141" s="8"/>
      <c r="G141" s="8"/>
      <c r="H141" s="8"/>
      <c r="I141"/>
      <c r="J141" s="10"/>
      <c r="K141" s="10"/>
      <c r="L141" s="10"/>
      <c r="M141" s="10"/>
    </row>
    <row r="142" spans="1:13" s="1" customFormat="1" x14ac:dyDescent="0.2">
      <c r="B142" s="6"/>
      <c r="C142" s="7"/>
      <c r="D142" s="8"/>
      <c r="E142" s="8"/>
      <c r="F142" s="8"/>
      <c r="G142" s="8"/>
      <c r="H142" s="8"/>
      <c r="I142"/>
      <c r="J142" s="10"/>
      <c r="K142" s="10"/>
      <c r="L142" s="10"/>
      <c r="M142" s="10"/>
    </row>
    <row r="143" spans="1:13" s="1" customFormat="1" x14ac:dyDescent="0.2">
      <c r="B143" s="6"/>
      <c r="C143" s="7"/>
      <c r="D143" s="8"/>
      <c r="E143" s="8"/>
      <c r="F143" s="8"/>
      <c r="G143" s="8"/>
      <c r="H143" s="8"/>
      <c r="I143"/>
      <c r="J143" s="10"/>
      <c r="K143" s="10"/>
      <c r="L143" s="10"/>
      <c r="M143" s="10"/>
    </row>
    <row r="144" spans="1:13" s="1" customFormat="1" x14ac:dyDescent="0.2">
      <c r="B144" s="6"/>
      <c r="C144" s="7"/>
      <c r="D144" s="8"/>
      <c r="E144" s="8"/>
      <c r="F144" s="8"/>
      <c r="G144" s="8"/>
      <c r="H144" s="8"/>
      <c r="I144"/>
      <c r="J144" s="10"/>
      <c r="K144" s="10"/>
      <c r="L144" s="10"/>
      <c r="M144" s="10"/>
    </row>
    <row r="145" spans="2:13" s="1" customFormat="1" x14ac:dyDescent="0.2">
      <c r="B145" s="6"/>
      <c r="C145" s="7"/>
      <c r="D145" s="8"/>
      <c r="E145" s="8"/>
      <c r="F145" s="8"/>
      <c r="G145" s="8"/>
      <c r="H145" s="8"/>
      <c r="I145"/>
      <c r="J145" s="10"/>
      <c r="K145" s="10"/>
      <c r="L145" s="10"/>
      <c r="M145" s="10"/>
    </row>
    <row r="146" spans="2:13" s="1" customFormat="1" x14ac:dyDescent="0.2">
      <c r="B146" s="6"/>
      <c r="C146" s="7"/>
      <c r="D146" s="8"/>
      <c r="E146" s="8"/>
      <c r="F146" s="8"/>
      <c r="G146" s="8"/>
      <c r="H146" s="8"/>
      <c r="I146"/>
      <c r="J146" s="10"/>
      <c r="K146" s="10"/>
      <c r="L146" s="10"/>
      <c r="M146" s="10"/>
    </row>
    <row r="147" spans="2:13" s="1" customFormat="1" x14ac:dyDescent="0.2">
      <c r="B147" s="6"/>
      <c r="C147" s="7"/>
      <c r="D147" s="8"/>
      <c r="E147" s="8"/>
      <c r="F147" s="8"/>
      <c r="G147" s="8"/>
      <c r="H147" s="8"/>
      <c r="I147"/>
      <c r="J147" s="10"/>
      <c r="K147" s="10"/>
    </row>
    <row r="148" spans="2:13" s="1" customFormat="1" x14ac:dyDescent="0.2">
      <c r="B148" s="6"/>
      <c r="C148" s="7"/>
      <c r="D148" s="8"/>
      <c r="E148" s="8"/>
      <c r="F148" s="8"/>
      <c r="G148" s="8"/>
      <c r="H148" s="8"/>
      <c r="I148"/>
      <c r="J148" s="10"/>
      <c r="K148" s="10"/>
    </row>
    <row r="149" spans="2:13" s="1" customFormat="1" x14ac:dyDescent="0.2">
      <c r="B149" s="6"/>
      <c r="C149" s="8"/>
      <c r="D149" s="8"/>
      <c r="E149" s="8"/>
      <c r="F149" s="8"/>
      <c r="G149" s="8"/>
      <c r="H149" s="8"/>
      <c r="I149"/>
      <c r="J149" s="10"/>
      <c r="K149" s="10"/>
    </row>
    <row r="150" spans="2:13" s="1" customFormat="1" x14ac:dyDescent="0.2">
      <c r="B150" s="6"/>
      <c r="C150" s="8"/>
      <c r="D150" s="8"/>
      <c r="E150" s="8"/>
      <c r="F150" s="8"/>
      <c r="G150" s="8"/>
      <c r="H150" s="8"/>
      <c r="I150"/>
      <c r="J150" s="10"/>
      <c r="K150" s="10"/>
    </row>
    <row r="151" spans="2:13" s="1" customFormat="1" x14ac:dyDescent="0.2">
      <c r="B151" s="6"/>
      <c r="C151" s="8"/>
      <c r="D151" s="8"/>
      <c r="E151" s="8"/>
      <c r="F151" s="8"/>
      <c r="G151" s="8"/>
      <c r="H151" s="8"/>
      <c r="I151"/>
      <c r="J151" s="10"/>
      <c r="K151" s="10"/>
    </row>
    <row r="152" spans="2:13" s="1" customFormat="1" x14ac:dyDescent="0.2">
      <c r="B152" s="6"/>
      <c r="C152" s="8"/>
      <c r="D152" s="8"/>
      <c r="E152" s="8"/>
      <c r="F152" s="8"/>
      <c r="G152" s="8"/>
      <c r="H152" s="8"/>
      <c r="I152"/>
      <c r="J152" s="10"/>
      <c r="K152" s="10"/>
    </row>
    <row r="153" spans="2:13" s="1" customFormat="1" x14ac:dyDescent="0.2">
      <c r="B153" s="6"/>
      <c r="C153" s="8"/>
      <c r="D153" s="8"/>
      <c r="E153" s="8"/>
      <c r="F153" s="8"/>
      <c r="G153" s="8"/>
      <c r="H153" s="8"/>
      <c r="I153"/>
      <c r="J153" s="10"/>
      <c r="K153" s="10"/>
    </row>
    <row r="154" spans="2:13" s="1" customFormat="1" x14ac:dyDescent="0.2">
      <c r="B154" s="6"/>
      <c r="C154" s="8"/>
      <c r="D154" s="8"/>
      <c r="E154" s="8"/>
      <c r="F154" s="8"/>
      <c r="G154" s="8"/>
      <c r="H154" s="8"/>
      <c r="I154"/>
      <c r="J154" s="10"/>
      <c r="K154" s="10"/>
    </row>
    <row r="155" spans="2:13" s="1" customFormat="1" x14ac:dyDescent="0.2">
      <c r="B155" s="6"/>
      <c r="C155" s="8"/>
      <c r="D155" s="8"/>
      <c r="E155" s="8"/>
      <c r="F155" s="8"/>
      <c r="G155" s="8"/>
      <c r="H155" s="8"/>
      <c r="I155"/>
      <c r="J155" s="10"/>
      <c r="K155" s="10"/>
    </row>
    <row r="156" spans="2:13" s="1" customFormat="1" x14ac:dyDescent="0.2">
      <c r="B156" s="6"/>
      <c r="C156" s="8"/>
      <c r="D156" s="8"/>
      <c r="E156" s="8"/>
      <c r="F156" s="8"/>
      <c r="G156" s="8"/>
      <c r="H156" s="8"/>
      <c r="I156"/>
      <c r="J156" s="10"/>
      <c r="K156" s="10"/>
    </row>
    <row r="157" spans="2:13" s="1" customFormat="1" x14ac:dyDescent="0.2">
      <c r="B157" s="6"/>
      <c r="C157" s="8"/>
      <c r="D157" s="8"/>
      <c r="E157" s="8"/>
      <c r="F157" s="8"/>
      <c r="G157" s="8"/>
      <c r="H157" s="8"/>
      <c r="I157"/>
      <c r="J157" s="10"/>
      <c r="K157" s="10"/>
    </row>
    <row r="158" spans="2:13" s="1" customFormat="1" x14ac:dyDescent="0.2">
      <c r="B158" s="6"/>
      <c r="C158" s="8"/>
      <c r="D158" s="8"/>
      <c r="E158" s="8"/>
      <c r="F158" s="8"/>
      <c r="G158" s="8"/>
      <c r="H158" s="8"/>
      <c r="I158"/>
      <c r="J158" s="10"/>
      <c r="K158" s="10"/>
    </row>
    <row r="159" spans="2:13" s="1" customFormat="1" x14ac:dyDescent="0.2">
      <c r="B159" s="6"/>
      <c r="C159" s="8"/>
      <c r="D159" s="8"/>
      <c r="E159" s="8"/>
      <c r="F159" s="8"/>
      <c r="G159" s="8"/>
      <c r="H159" s="8"/>
      <c r="I159"/>
      <c r="J159" s="10"/>
      <c r="K159" s="10"/>
    </row>
    <row r="160" spans="2:13" s="1" customFormat="1" x14ac:dyDescent="0.2">
      <c r="B160" s="6"/>
      <c r="C160" s="8"/>
      <c r="D160" s="8"/>
      <c r="E160" s="8"/>
      <c r="F160" s="8"/>
      <c r="G160" s="8"/>
      <c r="H160" s="8"/>
      <c r="I160"/>
      <c r="J160" s="10"/>
      <c r="K160" s="10"/>
    </row>
    <row r="161" spans="2:11" s="1" customFormat="1" x14ac:dyDescent="0.2">
      <c r="B161" s="6"/>
      <c r="C161" s="8"/>
      <c r="D161" s="8"/>
      <c r="E161" s="8"/>
      <c r="F161" s="8"/>
      <c r="G161" s="8"/>
      <c r="H161" s="8"/>
      <c r="I161"/>
      <c r="J161" s="10"/>
      <c r="K161" s="10"/>
    </row>
    <row r="162" spans="2:11" s="1" customFormat="1" x14ac:dyDescent="0.2">
      <c r="B162" s="6"/>
      <c r="C162" s="8"/>
      <c r="D162" s="8"/>
      <c r="E162" s="8"/>
      <c r="F162" s="8"/>
      <c r="G162" s="8"/>
      <c r="H162" s="8"/>
      <c r="I162"/>
      <c r="J162" s="10"/>
      <c r="K162" s="10"/>
    </row>
    <row r="163" spans="2:11" s="1" customFormat="1" x14ac:dyDescent="0.2">
      <c r="B163" s="6"/>
      <c r="C163" s="8"/>
      <c r="D163" s="8"/>
      <c r="E163" s="8"/>
      <c r="F163" s="8"/>
      <c r="G163" s="8"/>
      <c r="H163" s="8"/>
      <c r="I163"/>
      <c r="J163" s="10"/>
      <c r="K163" s="10"/>
    </row>
    <row r="164" spans="2:11" s="1" customFormat="1" x14ac:dyDescent="0.2">
      <c r="B164" s="6"/>
      <c r="C164" s="8"/>
      <c r="D164" s="8"/>
      <c r="E164" s="8"/>
      <c r="F164" s="8"/>
      <c r="G164" s="8"/>
      <c r="H164" s="8"/>
      <c r="I164"/>
      <c r="J164" s="10"/>
      <c r="K164" s="10"/>
    </row>
    <row r="165" spans="2:11" s="1" customFormat="1" x14ac:dyDescent="0.2">
      <c r="B165" s="6"/>
      <c r="C165" s="8"/>
      <c r="D165" s="8"/>
      <c r="E165" s="8"/>
      <c r="F165" s="8"/>
      <c r="G165" s="8"/>
      <c r="H165" s="8"/>
      <c r="I165"/>
      <c r="J165" s="10"/>
      <c r="K165" s="10"/>
    </row>
    <row r="166" spans="2:11" s="1" customFormat="1" x14ac:dyDescent="0.2">
      <c r="B166" s="6"/>
      <c r="C166" s="8"/>
      <c r="D166" s="8"/>
      <c r="E166" s="8"/>
      <c r="F166" s="8"/>
      <c r="G166" s="8"/>
      <c r="H166" s="8"/>
      <c r="I166"/>
      <c r="J166" s="10"/>
      <c r="K166" s="10"/>
    </row>
    <row r="167" spans="2:11" s="1" customFormat="1" x14ac:dyDescent="0.2">
      <c r="B167" s="6"/>
      <c r="C167" s="8"/>
      <c r="D167" s="8"/>
      <c r="E167" s="8"/>
      <c r="F167" s="8"/>
      <c r="G167" s="8"/>
      <c r="H167" s="8"/>
      <c r="I167"/>
      <c r="J167" s="10"/>
      <c r="K167" s="10"/>
    </row>
    <row r="168" spans="2:11" s="1" customFormat="1" x14ac:dyDescent="0.2">
      <c r="B168" s="6"/>
      <c r="C168" s="8"/>
      <c r="D168" s="8"/>
      <c r="E168" s="8"/>
      <c r="F168" s="8"/>
      <c r="G168" s="8"/>
      <c r="H168" s="8"/>
      <c r="I168"/>
      <c r="J168" s="10"/>
      <c r="K168" s="10"/>
    </row>
    <row r="169" spans="2:11" s="1" customFormat="1" x14ac:dyDescent="0.2">
      <c r="B169" s="6"/>
      <c r="C169" s="8"/>
      <c r="D169" s="8"/>
      <c r="E169" s="8"/>
      <c r="F169" s="8"/>
      <c r="G169" s="8"/>
      <c r="H169" s="8"/>
      <c r="I169"/>
      <c r="J169" s="10"/>
      <c r="K169" s="10"/>
    </row>
    <row r="170" spans="2:11" s="1" customFormat="1" x14ac:dyDescent="0.2">
      <c r="B170" s="6"/>
      <c r="C170" s="8"/>
      <c r="D170" s="8"/>
      <c r="E170" s="8"/>
      <c r="F170" s="8"/>
      <c r="G170" s="8"/>
      <c r="H170" s="8"/>
      <c r="I170"/>
      <c r="J170" s="10"/>
      <c r="K170" s="10"/>
    </row>
    <row r="171" spans="2:11" s="1" customFormat="1" x14ac:dyDescent="0.2">
      <c r="B171" s="6"/>
      <c r="C171" s="8"/>
      <c r="D171" s="8"/>
      <c r="E171" s="8"/>
      <c r="F171" s="8"/>
      <c r="G171" s="8"/>
      <c r="H171" s="8"/>
      <c r="I171"/>
      <c r="J171" s="10"/>
      <c r="K171" s="10"/>
    </row>
    <row r="172" spans="2:11" s="1" customFormat="1" x14ac:dyDescent="0.2">
      <c r="B172" s="6"/>
      <c r="C172" s="8"/>
      <c r="D172" s="8"/>
      <c r="E172" s="8"/>
      <c r="F172" s="8"/>
      <c r="G172" s="8"/>
      <c r="H172" s="8"/>
      <c r="I172"/>
      <c r="J172" s="10"/>
      <c r="K172" s="10"/>
    </row>
    <row r="173" spans="2:11" s="1" customFormat="1" x14ac:dyDescent="0.2">
      <c r="B173" s="6"/>
      <c r="C173" s="8"/>
      <c r="D173" s="8"/>
      <c r="E173" s="8"/>
      <c r="F173" s="8"/>
      <c r="G173" s="8"/>
      <c r="H173" s="8"/>
      <c r="I173"/>
      <c r="J173" s="10"/>
      <c r="K173" s="10"/>
    </row>
    <row r="174" spans="2:11" s="1" customFormat="1" x14ac:dyDescent="0.2">
      <c r="B174" s="6"/>
      <c r="C174" s="8"/>
      <c r="D174" s="8"/>
      <c r="E174" s="8"/>
      <c r="F174" s="8"/>
      <c r="G174" s="8"/>
      <c r="H174" s="8"/>
      <c r="I174"/>
      <c r="J174" s="10"/>
      <c r="K174" s="10"/>
    </row>
    <row r="175" spans="2:11" s="1" customFormat="1" x14ac:dyDescent="0.2">
      <c r="B175" s="6"/>
      <c r="C175" s="8"/>
      <c r="D175" s="8"/>
      <c r="E175" s="8"/>
      <c r="F175" s="8"/>
      <c r="G175" s="8"/>
      <c r="H175" s="8"/>
      <c r="I175"/>
      <c r="J175" s="10"/>
      <c r="K175" s="10"/>
    </row>
    <row r="176" spans="2:11" s="1" customFormat="1" x14ac:dyDescent="0.2">
      <c r="B176" s="6"/>
      <c r="C176" s="8"/>
      <c r="D176" s="8"/>
      <c r="E176" s="8"/>
      <c r="F176" s="8"/>
      <c r="G176" s="8"/>
      <c r="H176" s="8"/>
      <c r="I176"/>
      <c r="J176" s="10"/>
      <c r="K176" s="10"/>
    </row>
    <row r="177" spans="2:11" s="1" customFormat="1" x14ac:dyDescent="0.2">
      <c r="B177" s="6"/>
      <c r="C177" s="8"/>
      <c r="D177" s="8"/>
      <c r="E177" s="8"/>
      <c r="F177" s="8"/>
      <c r="G177" s="8"/>
      <c r="H177" s="8"/>
      <c r="I177"/>
      <c r="J177" s="10"/>
      <c r="K177" s="10"/>
    </row>
    <row r="178" spans="2:11" s="1" customFormat="1" x14ac:dyDescent="0.2">
      <c r="B178" s="6"/>
      <c r="C178" s="8"/>
      <c r="D178" s="8"/>
      <c r="E178" s="8"/>
      <c r="F178" s="8"/>
      <c r="G178" s="8"/>
      <c r="H178" s="8"/>
      <c r="I178"/>
      <c r="J178" s="10"/>
      <c r="K178" s="10"/>
    </row>
    <row r="179" spans="2:11" s="1" customFormat="1" x14ac:dyDescent="0.2">
      <c r="B179" s="6"/>
      <c r="C179" s="8"/>
      <c r="D179" s="8"/>
      <c r="E179" s="8"/>
      <c r="F179" s="8"/>
      <c r="G179" s="8"/>
      <c r="H179" s="8"/>
      <c r="I179"/>
      <c r="J179" s="10"/>
      <c r="K179" s="10"/>
    </row>
    <row r="180" spans="2:11" s="1" customFormat="1" x14ac:dyDescent="0.2">
      <c r="B180" s="6"/>
      <c r="C180" s="8"/>
      <c r="D180" s="8"/>
      <c r="E180" s="8"/>
      <c r="F180" s="8"/>
      <c r="G180" s="8"/>
      <c r="H180" s="8"/>
      <c r="I180"/>
      <c r="J180" s="10"/>
      <c r="K180" s="10"/>
    </row>
    <row r="181" spans="2:11" s="1" customFormat="1" x14ac:dyDescent="0.2">
      <c r="B181" s="6"/>
      <c r="C181" s="8"/>
      <c r="D181" s="8"/>
      <c r="E181" s="8"/>
      <c r="F181" s="8"/>
      <c r="G181" s="8"/>
      <c r="H181" s="8"/>
      <c r="I181"/>
      <c r="J181" s="10"/>
      <c r="K181" s="10"/>
    </row>
    <row r="182" spans="2:11" s="1" customFormat="1" x14ac:dyDescent="0.2">
      <c r="B182" s="6"/>
      <c r="C182" s="8"/>
      <c r="D182" s="8"/>
      <c r="E182" s="8"/>
      <c r="F182" s="8"/>
      <c r="G182" s="8"/>
      <c r="H182" s="8"/>
      <c r="I182"/>
      <c r="J182" s="10"/>
      <c r="K182" s="10"/>
    </row>
    <row r="183" spans="2:11" s="1" customFormat="1" x14ac:dyDescent="0.2">
      <c r="B183" s="6"/>
      <c r="C183" s="8"/>
      <c r="D183" s="8"/>
      <c r="E183" s="8"/>
      <c r="F183" s="8"/>
      <c r="G183" s="8"/>
      <c r="H183" s="8"/>
      <c r="I183"/>
      <c r="J183" s="10"/>
      <c r="K183" s="10"/>
    </row>
    <row r="184" spans="2:11" s="1" customFormat="1" x14ac:dyDescent="0.2">
      <c r="B184" s="6"/>
      <c r="C184" s="8"/>
      <c r="D184" s="8"/>
      <c r="E184" s="8"/>
      <c r="F184" s="8"/>
      <c r="G184" s="8"/>
      <c r="H184" s="8"/>
      <c r="I184"/>
      <c r="J184" s="10"/>
      <c r="K184" s="10"/>
    </row>
    <row r="185" spans="2:11" s="1" customFormat="1" x14ac:dyDescent="0.2">
      <c r="B185" s="6"/>
      <c r="C185" s="8"/>
      <c r="D185" s="8"/>
      <c r="E185" s="8"/>
      <c r="F185" s="8"/>
      <c r="G185" s="8"/>
      <c r="H185" s="8"/>
      <c r="I185"/>
      <c r="J185" s="10"/>
      <c r="K185" s="10"/>
    </row>
    <row r="186" spans="2:11" s="1" customFormat="1" x14ac:dyDescent="0.2">
      <c r="B186" s="6"/>
      <c r="C186" s="8"/>
      <c r="D186" s="8"/>
      <c r="E186" s="8"/>
      <c r="F186" s="8"/>
      <c r="G186" s="8"/>
      <c r="H186" s="8"/>
      <c r="I186"/>
      <c r="J186" s="10"/>
      <c r="K186" s="10"/>
    </row>
    <row r="187" spans="2:11" s="1" customFormat="1" x14ac:dyDescent="0.2">
      <c r="B187" s="6"/>
      <c r="C187" s="8"/>
      <c r="D187" s="8"/>
      <c r="E187" s="8"/>
      <c r="F187" s="8"/>
      <c r="G187" s="8"/>
      <c r="H187" s="8"/>
      <c r="I187"/>
      <c r="J187" s="10"/>
      <c r="K187" s="10"/>
    </row>
    <row r="188" spans="2:11" s="1" customFormat="1" x14ac:dyDescent="0.2">
      <c r="B188" s="6"/>
      <c r="C188" s="8"/>
      <c r="D188" s="8"/>
      <c r="E188" s="8"/>
      <c r="F188" s="8"/>
      <c r="G188" s="8"/>
      <c r="H188" s="8"/>
      <c r="I188"/>
      <c r="J188" s="10"/>
      <c r="K188" s="10"/>
    </row>
    <row r="189" spans="2:11" s="1" customFormat="1" x14ac:dyDescent="0.2">
      <c r="B189" s="6"/>
      <c r="C189" s="8"/>
      <c r="D189" s="8"/>
      <c r="E189" s="8"/>
      <c r="F189" s="8"/>
      <c r="G189" s="8"/>
      <c r="H189" s="8"/>
      <c r="I189"/>
      <c r="J189" s="10"/>
      <c r="K189" s="10"/>
    </row>
    <row r="190" spans="2:11" s="1" customFormat="1" x14ac:dyDescent="0.2">
      <c r="B190" s="6"/>
      <c r="C190" s="8"/>
      <c r="D190" s="8"/>
      <c r="E190" s="8"/>
      <c r="F190" s="8"/>
      <c r="G190" s="8"/>
      <c r="H190" s="8"/>
      <c r="I190"/>
      <c r="J190" s="10"/>
      <c r="K190" s="10"/>
    </row>
    <row r="191" spans="2:11" s="1" customFormat="1" x14ac:dyDescent="0.2">
      <c r="B191" s="6"/>
      <c r="C191" s="8"/>
      <c r="D191" s="8"/>
      <c r="E191" s="8"/>
      <c r="F191" s="8"/>
      <c r="G191" s="8"/>
      <c r="H191" s="8"/>
      <c r="I191"/>
      <c r="J191" s="10"/>
      <c r="K191" s="10"/>
    </row>
    <row r="192" spans="2:11" s="1" customFormat="1" x14ac:dyDescent="0.2">
      <c r="B192" s="6"/>
      <c r="C192" s="8"/>
      <c r="D192" s="8"/>
      <c r="E192" s="8"/>
      <c r="F192" s="8"/>
      <c r="G192" s="8"/>
      <c r="H192" s="8"/>
      <c r="I192"/>
      <c r="J192" s="10"/>
      <c r="K192" s="10"/>
    </row>
    <row r="193" spans="2:11" s="1" customFormat="1" x14ac:dyDescent="0.2">
      <c r="B193" s="6"/>
      <c r="C193" s="8"/>
      <c r="D193" s="8"/>
      <c r="E193" s="8"/>
      <c r="F193" s="8"/>
      <c r="G193" s="8"/>
      <c r="H193" s="8"/>
      <c r="I193"/>
      <c r="J193" s="10"/>
      <c r="K193" s="10"/>
    </row>
    <row r="194" spans="2:11" s="1" customFormat="1" x14ac:dyDescent="0.2">
      <c r="B194" s="6"/>
      <c r="C194" s="8"/>
      <c r="D194" s="8"/>
      <c r="E194" s="8"/>
      <c r="F194" s="8"/>
      <c r="G194" s="8"/>
      <c r="H194" s="8"/>
      <c r="I194"/>
      <c r="J194" s="10"/>
      <c r="K194" s="10"/>
    </row>
    <row r="195" spans="2:11" s="1" customFormat="1" x14ac:dyDescent="0.2">
      <c r="B195" s="6"/>
      <c r="C195" s="8"/>
      <c r="D195" s="8"/>
      <c r="E195" s="8"/>
      <c r="F195" s="8"/>
      <c r="G195" s="8"/>
      <c r="H195" s="8"/>
      <c r="I195"/>
      <c r="J195" s="10"/>
      <c r="K195" s="10"/>
    </row>
    <row r="196" spans="2:11" s="1" customFormat="1" x14ac:dyDescent="0.2">
      <c r="B196" s="6"/>
      <c r="C196" s="8"/>
      <c r="D196" s="8"/>
      <c r="E196" s="8"/>
      <c r="F196" s="8"/>
      <c r="G196" s="8"/>
      <c r="H196" s="8"/>
      <c r="I196"/>
      <c r="J196" s="10"/>
      <c r="K196" s="10"/>
    </row>
    <row r="197" spans="2:11" s="1" customFormat="1" x14ac:dyDescent="0.2">
      <c r="B197" s="6"/>
      <c r="C197" s="8"/>
      <c r="D197" s="8"/>
      <c r="E197" s="8"/>
      <c r="F197" s="8"/>
      <c r="G197" s="8"/>
      <c r="H197" s="8"/>
      <c r="I197"/>
      <c r="J197" s="10"/>
      <c r="K197" s="10"/>
    </row>
    <row r="198" spans="2:11" s="1" customFormat="1" x14ac:dyDescent="0.2">
      <c r="B198" s="6"/>
      <c r="C198" s="8"/>
      <c r="D198" s="8"/>
      <c r="E198" s="8"/>
      <c r="F198" s="8"/>
      <c r="G198" s="8"/>
      <c r="H198" s="8"/>
      <c r="I198"/>
      <c r="J198" s="10"/>
      <c r="K198" s="10"/>
    </row>
    <row r="199" spans="2:11" s="1" customFormat="1" x14ac:dyDescent="0.2">
      <c r="B199" s="6"/>
      <c r="C199" s="8"/>
      <c r="D199" s="8"/>
      <c r="E199" s="8"/>
      <c r="F199" s="8"/>
      <c r="G199" s="8"/>
      <c r="H199" s="8"/>
      <c r="I199"/>
      <c r="J199" s="10"/>
      <c r="K199" s="10"/>
    </row>
    <row r="200" spans="2:11" s="1" customFormat="1" x14ac:dyDescent="0.2">
      <c r="B200" s="6"/>
      <c r="C200" s="8"/>
      <c r="D200" s="8"/>
      <c r="E200" s="8"/>
      <c r="F200" s="8"/>
      <c r="G200" s="8"/>
      <c r="H200" s="8"/>
      <c r="I200"/>
      <c r="J200" s="10"/>
      <c r="K200" s="10"/>
    </row>
    <row r="201" spans="2:11" s="1" customFormat="1" ht="12" x14ac:dyDescent="0.2">
      <c r="B201" s="6"/>
      <c r="C201" s="8"/>
      <c r="D201" s="8"/>
      <c r="E201" s="8"/>
      <c r="F201" s="8"/>
      <c r="G201" s="8"/>
      <c r="H201" s="8"/>
      <c r="I201" s="9"/>
      <c r="J201" s="10"/>
      <c r="K201" s="10"/>
    </row>
    <row r="202" spans="2:11" s="1" customFormat="1" ht="12" x14ac:dyDescent="0.2">
      <c r="B202" s="6"/>
      <c r="C202" s="8"/>
      <c r="D202" s="8"/>
      <c r="E202" s="8"/>
      <c r="F202" s="8"/>
      <c r="G202" s="8"/>
      <c r="H202" s="8"/>
      <c r="I202" s="9"/>
    </row>
    <row r="203" spans="2:11" s="1" customFormat="1" ht="12" x14ac:dyDescent="0.2">
      <c r="B203" s="6"/>
      <c r="C203" s="8"/>
      <c r="D203" s="8"/>
      <c r="E203" s="8"/>
      <c r="F203" s="8"/>
      <c r="G203" s="8"/>
      <c r="H203" s="8"/>
      <c r="I203" s="9"/>
    </row>
    <row r="204" spans="2:11" s="1" customFormat="1" ht="12" x14ac:dyDescent="0.2">
      <c r="B204" s="6"/>
      <c r="C204" s="8"/>
      <c r="D204" s="8"/>
      <c r="E204" s="8"/>
      <c r="F204" s="8"/>
      <c r="G204" s="8"/>
      <c r="H204" s="8"/>
      <c r="I204" s="9"/>
    </row>
    <row r="205" spans="2:11" s="1" customFormat="1" ht="12" x14ac:dyDescent="0.2">
      <c r="B205" s="6"/>
      <c r="C205" s="8"/>
      <c r="D205" s="8"/>
      <c r="E205" s="8"/>
      <c r="F205" s="8"/>
      <c r="G205" s="8"/>
      <c r="H205" s="8"/>
      <c r="I205" s="9"/>
    </row>
    <row r="206" spans="2:11" s="1" customFormat="1" ht="12" x14ac:dyDescent="0.2">
      <c r="B206" s="6"/>
      <c r="C206" s="8"/>
      <c r="D206" s="8"/>
      <c r="E206" s="8"/>
      <c r="F206" s="8"/>
      <c r="G206" s="8"/>
      <c r="H206" s="8"/>
      <c r="I206" s="9"/>
    </row>
    <row r="207" spans="2:11" s="1" customFormat="1" ht="12" x14ac:dyDescent="0.2">
      <c r="B207" s="6"/>
      <c r="C207" s="8"/>
      <c r="D207" s="8"/>
      <c r="E207" s="8"/>
      <c r="F207" s="8"/>
      <c r="G207" s="8"/>
      <c r="H207" s="8"/>
      <c r="I207" s="9"/>
    </row>
    <row r="208" spans="2:11" s="1" customFormat="1" ht="12" x14ac:dyDescent="0.2">
      <c r="B208" s="6"/>
      <c r="C208" s="8"/>
      <c r="D208" s="8"/>
      <c r="E208" s="8"/>
      <c r="F208" s="8"/>
      <c r="G208" s="8"/>
      <c r="H208" s="8"/>
      <c r="I208" s="9"/>
    </row>
    <row r="209" spans="2:9" s="1" customFormat="1" ht="12" x14ac:dyDescent="0.2">
      <c r="B209" s="6"/>
      <c r="C209" s="8"/>
      <c r="D209" s="8"/>
      <c r="E209" s="8"/>
      <c r="F209" s="8"/>
      <c r="G209" s="8"/>
      <c r="H209" s="8"/>
      <c r="I209" s="9"/>
    </row>
    <row r="210" spans="2:9" s="1" customFormat="1" ht="12" x14ac:dyDescent="0.2">
      <c r="B210" s="8"/>
      <c r="C210" s="8"/>
      <c r="D210" s="8"/>
      <c r="E210" s="8"/>
      <c r="F210" s="8"/>
      <c r="G210" s="8"/>
      <c r="H210" s="8"/>
      <c r="I210" s="9"/>
    </row>
    <row r="211" spans="2:9" s="1" customFormat="1" ht="12" x14ac:dyDescent="0.2">
      <c r="B211" s="8"/>
      <c r="C211" s="8"/>
      <c r="D211" s="8"/>
      <c r="E211" s="8"/>
      <c r="F211" s="8"/>
      <c r="G211" s="8"/>
      <c r="H211" s="8"/>
      <c r="I211" s="9"/>
    </row>
    <row r="212" spans="2:9" s="1" customFormat="1" ht="12" hidden="1" x14ac:dyDescent="0.2">
      <c r="B212" s="8"/>
      <c r="C212" s="8"/>
      <c r="D212" s="8"/>
      <c r="E212" s="8"/>
      <c r="F212" s="8"/>
      <c r="G212" s="8"/>
      <c r="H212" s="8"/>
      <c r="I212" s="9"/>
    </row>
    <row r="213" spans="2:9" s="1" customFormat="1" ht="12" x14ac:dyDescent="0.2">
      <c r="B213" s="8"/>
      <c r="C213" s="8"/>
      <c r="D213" s="8"/>
      <c r="E213" s="8"/>
      <c r="F213" s="8"/>
      <c r="G213" s="8"/>
      <c r="H213" s="8"/>
      <c r="I213" s="9"/>
    </row>
    <row r="214" spans="2:9" s="1" customFormat="1" ht="12" x14ac:dyDescent="0.2">
      <c r="B214" s="8"/>
      <c r="C214" s="8"/>
      <c r="D214" s="8"/>
      <c r="E214" s="8"/>
      <c r="F214" s="8"/>
      <c r="G214" s="8"/>
      <c r="H214" s="8"/>
      <c r="I214" s="9"/>
    </row>
    <row r="215" spans="2:9" s="1" customFormat="1" ht="12" x14ac:dyDescent="0.2">
      <c r="B215" s="8"/>
      <c r="C215" s="8"/>
      <c r="D215" s="8"/>
      <c r="E215" s="8"/>
      <c r="F215" s="8"/>
      <c r="G215" s="8"/>
      <c r="H215" s="8"/>
      <c r="I215" s="9"/>
    </row>
    <row r="216" spans="2:9" s="1" customFormat="1" ht="12" x14ac:dyDescent="0.2">
      <c r="B216" s="8"/>
      <c r="C216" s="8"/>
      <c r="D216" s="8"/>
      <c r="E216" s="8"/>
      <c r="F216" s="8"/>
      <c r="G216" s="8"/>
      <c r="H216" s="8"/>
      <c r="I216" s="9"/>
    </row>
    <row r="217" spans="2:9" s="1" customFormat="1" ht="12" x14ac:dyDescent="0.2">
      <c r="B217" s="8"/>
      <c r="C217" s="8"/>
      <c r="D217" s="8"/>
      <c r="E217" s="8"/>
      <c r="F217" s="8"/>
      <c r="G217" s="8"/>
      <c r="H217" s="8"/>
      <c r="I217" s="9"/>
    </row>
    <row r="218" spans="2:9" s="1" customFormat="1" ht="12" x14ac:dyDescent="0.2">
      <c r="B218" s="8"/>
      <c r="C218" s="8"/>
      <c r="D218" s="8"/>
      <c r="E218" s="8"/>
      <c r="F218" s="8"/>
      <c r="G218" s="8"/>
      <c r="H218" s="8"/>
      <c r="I218" s="9"/>
    </row>
    <row r="219" spans="2:9" s="1" customFormat="1" ht="12" x14ac:dyDescent="0.2">
      <c r="B219" s="8"/>
      <c r="C219" s="8"/>
      <c r="D219" s="8"/>
      <c r="E219" s="8"/>
      <c r="F219" s="8"/>
      <c r="G219" s="8"/>
      <c r="H219" s="8"/>
      <c r="I219" s="9"/>
    </row>
    <row r="220" spans="2:9" x14ac:dyDescent="0.2">
      <c r="B220" s="8"/>
      <c r="C220" s="8"/>
      <c r="D220" s="8"/>
      <c r="E220" s="8"/>
      <c r="F220" s="8"/>
      <c r="G220" s="8"/>
      <c r="H220" s="8"/>
    </row>
    <row r="221" spans="2:9" x14ac:dyDescent="0.2">
      <c r="B221" s="8"/>
      <c r="C221" s="8"/>
      <c r="D221" s="8"/>
      <c r="E221" s="8"/>
      <c r="F221" s="8"/>
      <c r="G221" s="8"/>
      <c r="H221" s="8"/>
    </row>
  </sheetData>
  <sheetProtection algorithmName="SHA-512" hashValue="bvrynKNI9Kv63QjR4XmxpMnyXFtJ07LjjC/SiMyb5zV/NVWxCRPeL34MNuQnNJ21lQ6G/kL5aXI4cbItm1b/7w==" saltValue="J8MelH51KG76V3nAqag18g==" spinCount="100000" sheet="1" objects="1" scenarios="1"/>
  <mergeCells count="64">
    <mergeCell ref="C116:G116"/>
    <mergeCell ref="C93:G93"/>
    <mergeCell ref="C78:G78"/>
    <mergeCell ref="C95:G95"/>
    <mergeCell ref="C101:G101"/>
    <mergeCell ref="C110:G110"/>
    <mergeCell ref="C115:G115"/>
    <mergeCell ref="C94:G94"/>
    <mergeCell ref="C98:G98"/>
    <mergeCell ref="C109:G109"/>
    <mergeCell ref="C99:G99"/>
    <mergeCell ref="C100:G100"/>
    <mergeCell ref="C89:G89"/>
    <mergeCell ref="C90:G90"/>
    <mergeCell ref="C91:G91"/>
    <mergeCell ref="C92:G92"/>
    <mergeCell ref="B2:H2"/>
    <mergeCell ref="B9:B10"/>
    <mergeCell ref="C9:G10"/>
    <mergeCell ref="H9:H10"/>
    <mergeCell ref="C5:F5"/>
    <mergeCell ref="C6:F6"/>
    <mergeCell ref="C7:F7"/>
    <mergeCell ref="C3:D3"/>
    <mergeCell ref="E3:F3"/>
    <mergeCell ref="C4:D4"/>
    <mergeCell ref="E4:F4"/>
    <mergeCell ref="C64:G64"/>
    <mergeCell ref="C63:G63"/>
    <mergeCell ref="C62:G62"/>
    <mergeCell ref="C76:G76"/>
    <mergeCell ref="C75:G75"/>
    <mergeCell ref="J9:M9"/>
    <mergeCell ref="C47:G47"/>
    <mergeCell ref="C8:F8"/>
    <mergeCell ref="C41:G41"/>
    <mergeCell ref="C37:G37"/>
    <mergeCell ref="C26:G26"/>
    <mergeCell ref="C38:G38"/>
    <mergeCell ref="C39:G39"/>
    <mergeCell ref="C11:G11"/>
    <mergeCell ref="J8:K8"/>
    <mergeCell ref="L8:M8"/>
    <mergeCell ref="C12:G12"/>
    <mergeCell ref="C13:G13"/>
    <mergeCell ref="C14:G14"/>
    <mergeCell ref="C15:G15"/>
    <mergeCell ref="C16:G16"/>
    <mergeCell ref="O6:O7"/>
    <mergeCell ref="J3:K3"/>
    <mergeCell ref="L3:M3"/>
    <mergeCell ref="J4:K4"/>
    <mergeCell ref="L4:M4"/>
    <mergeCell ref="J5:K5"/>
    <mergeCell ref="L5:M5"/>
    <mergeCell ref="J6:K6"/>
    <mergeCell ref="L6:M6"/>
    <mergeCell ref="J7:K7"/>
    <mergeCell ref="L7:M7"/>
    <mergeCell ref="C56:G56"/>
    <mergeCell ref="C27:G27"/>
    <mergeCell ref="C28:G28"/>
    <mergeCell ref="C29:G29"/>
    <mergeCell ref="C46:G46"/>
  </mergeCells>
  <phoneticPr fontId="12" type="noConversion"/>
  <dataValidations count="1">
    <dataValidation type="list" allowBlank="1" showInputMessage="1" showErrorMessage="1" sqref="H7" xr:uid="{00000000-0002-0000-0000-000000000000}">
      <formula1>#REF!</formula1>
    </dataValidation>
  </dataValidations>
  <pageMargins left="0.23622047244094491" right="0.23622047244094491" top="0.39370078740157483" bottom="0.39370078740157483" header="0.31496062992125984" footer="0.31496062992125984"/>
  <pageSetup paperSize="9" scale="77" orientation="landscape" r:id="rId1"/>
  <ignoredErrors>
    <ignoredError sqref="M18 M20 M22 M24 M26 M28 M30 M32"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5NDBjYmFlYy0wMTRiLTQ4MzYtYjNlYi0zZWIwODU4YjFhMzkiIG9yaWdpbj0idXNlclNlbGVjdGVkIiAvPjxVc2VyTmFtZT5DRU5UUkFMLURPTUFJTlxtbWF5cmlrYWtpczwvVXNlck5hbWU+PERhdGVUaW1lPjA1LzA0LzIwMjEgMTE6MjI6MzQgJiN4M0MwOyYjeDNCQzs8L0RhdGVUaW1lPjxMYWJlbFN0cmluZz5UaGlzIGl0ZW0gaGFzIG5vIGNsYXNzaWZpY2F0aW9uPC9MYWJlbFN0cmluZz48L2l0ZW0+PC9sYWJlbEhpc3Rvcnk+</Value>
</WrappedLabelHistory>
</file>

<file path=customXml/item2.xml><?xml version="1.0" encoding="utf-8"?>
<sisl xmlns:xsi="http://www.w3.org/2001/XMLSchema-instance" xmlns:xsd="http://www.w3.org/2001/XMLSchema" xmlns="http://www.boldonjames.com/2008/01/sie/internal/label" sislVersion="0" policy="940cbaec-014b-4836-b3eb-3eb0858b1a39" origin="userSelected"/>
</file>

<file path=customXml/itemProps1.xml><?xml version="1.0" encoding="utf-8"?>
<ds:datastoreItem xmlns:ds="http://schemas.openxmlformats.org/officeDocument/2006/customXml" ds:itemID="{759F5104-8671-4F62-BEC9-424B8DD2F2B4}">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EFE6A7D7-0902-4403-A20F-DD14E86373B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ΦΥΛΛΟ ΑΠΟΛΟΓΙΣΜΟΥ FTTH</vt:lpstr>
      <vt:lpstr>'ΦΥΛΛΟ ΑΠΟΛΟΓΙΣΜΟΥ FTTH'!Print_Area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christos rosilovalis</dc:creator>
  <cp:lastModifiedBy>Prokopis Prokopiou</cp:lastModifiedBy>
  <cp:lastPrinted>2023-09-04T10:49:57Z</cp:lastPrinted>
  <dcterms:created xsi:type="dcterms:W3CDTF">2019-02-25T15:04:54Z</dcterms:created>
  <dcterms:modified xsi:type="dcterms:W3CDTF">2026-02-16T15:12:49Z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58df32f4-c4cc-4a6a-83df-409d69110798</vt:lpwstr>
  </property>
  <property fmtid="{D5CDD505-2E9C-101B-9397-08002B2CF9AE}" pid="3" name="bjDocumentSecurityLabel">
    <vt:lpwstr>This item has no classification</vt:lpwstr>
  </property>
  <property fmtid="{D5CDD505-2E9C-101B-9397-08002B2CF9AE}" pid="4" name="bjSaver">
    <vt:lpwstr>8thd9ef9IeBZYBVvrAXuKYZwrhA8geF7</vt:lpwstr>
  </property>
  <property fmtid="{D5CDD505-2E9C-101B-9397-08002B2CF9AE}" pid="5" name="bjLabelHistoryID">
    <vt:lpwstr>{759F5104-8671-4F62-BEC9-424B8DD2F2B4}</vt:lpwstr>
  </property>
</Properties>
</file>
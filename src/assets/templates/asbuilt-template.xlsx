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ΑΥΤΟΨΙΕΣ\2-339414353721 ΚΑΡΑΟΛΗ ΚΑΙ ΔΗΜΗΤΡΙΟΥ 12 ASBUILT\2-339414353721 ΚΑΡΑΟΛΗ ΚΑΙ ΔΗΜΗΤΡΙΟΥ 12\"/>
    </mc:Choice>
  </mc:AlternateContent>
  <xr:revisionPtr revIDLastSave="0" documentId="13_ncr:1_{BD1648E5-9355-4BA3-9D8C-0E1BA02230D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ΚΤΗΡΙΟ" sheetId="1" r:id="rId1"/>
    <sheet name="ΟΡΟΦΟΙ" sheetId="2" r:id="rId2"/>
    <sheet name="OPTICAL PATHS" sheetId="3" r:id="rId3"/>
    <sheet name="ΕΡΓΑΣΙΕΣ" sheetId="4" r:id="rId4"/>
    <sheet name="LABELS BMO" sheetId="5" r:id="rId5"/>
    <sheet name="LABELS BEP " sheetId="6" r:id="rId6"/>
    <sheet name="AS build-Επιμέτρηση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7" l="1"/>
  <c r="F58" i="7"/>
  <c r="E58" i="7"/>
  <c r="D58" i="7"/>
  <c r="G57" i="7"/>
  <c r="F57" i="7"/>
  <c r="E57" i="7"/>
  <c r="D57" i="7"/>
  <c r="G56" i="7"/>
  <c r="F56" i="7"/>
  <c r="E56" i="7"/>
  <c r="D56" i="7"/>
  <c r="G55" i="7"/>
  <c r="F55" i="7"/>
  <c r="E55" i="7"/>
  <c r="D55" i="7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E5" i="7"/>
  <c r="AC96" i="6"/>
  <c r="AA96" i="6"/>
  <c r="AC95" i="6"/>
  <c r="AA95" i="6"/>
  <c r="AC94" i="6"/>
  <c r="AA94" i="6"/>
  <c r="AC93" i="6"/>
  <c r="AA93" i="6"/>
  <c r="AC92" i="6"/>
  <c r="AA92" i="6"/>
  <c r="AC91" i="6"/>
  <c r="AA91" i="6"/>
  <c r="AC90" i="6"/>
  <c r="AA90" i="6"/>
  <c r="AC89" i="6"/>
  <c r="AA89" i="6"/>
  <c r="AC88" i="6"/>
  <c r="AA88" i="6"/>
  <c r="AC87" i="6"/>
  <c r="AA87" i="6"/>
  <c r="AC86" i="6"/>
  <c r="AA86" i="6"/>
  <c r="AC85" i="6"/>
  <c r="AA85" i="6"/>
  <c r="AC84" i="6"/>
  <c r="AA84" i="6"/>
  <c r="AC83" i="6"/>
  <c r="AA83" i="6"/>
  <c r="AC82" i="6"/>
  <c r="AA82" i="6"/>
  <c r="AC81" i="6"/>
  <c r="AA81" i="6"/>
  <c r="AC80" i="6"/>
  <c r="AA80" i="6"/>
  <c r="AC79" i="6"/>
  <c r="AA79" i="6"/>
  <c r="AC78" i="6"/>
  <c r="AA78" i="6"/>
  <c r="AC77" i="6"/>
  <c r="AA77" i="6"/>
  <c r="AC76" i="6"/>
  <c r="AA76" i="6"/>
  <c r="AC75" i="6"/>
  <c r="AA75" i="6"/>
  <c r="AC74" i="6"/>
  <c r="AA74" i="6"/>
  <c r="AC73" i="6"/>
  <c r="AA73" i="6"/>
  <c r="AC72" i="6"/>
  <c r="AA72" i="6"/>
  <c r="AC71" i="6"/>
  <c r="AA71" i="6"/>
  <c r="AC70" i="6"/>
  <c r="AA70" i="6"/>
  <c r="AC69" i="6"/>
  <c r="AA69" i="6"/>
  <c r="AC68" i="6"/>
  <c r="AA68" i="6"/>
  <c r="AC67" i="6"/>
  <c r="AA67" i="6"/>
  <c r="AC66" i="6"/>
  <c r="AA66" i="6"/>
  <c r="AC65" i="6"/>
  <c r="AA65" i="6"/>
  <c r="AC64" i="6"/>
  <c r="AA64" i="6"/>
  <c r="AC63" i="6"/>
  <c r="AA63" i="6"/>
  <c r="AC62" i="6"/>
  <c r="AA62" i="6"/>
  <c r="AC61" i="6"/>
  <c r="AA61" i="6"/>
  <c r="AC60" i="6"/>
  <c r="AA60" i="6"/>
  <c r="AC59" i="6"/>
  <c r="AA59" i="6"/>
  <c r="AC58" i="6"/>
  <c r="AA58" i="6"/>
  <c r="AC57" i="6"/>
  <c r="AA57" i="6"/>
  <c r="AC56" i="6"/>
  <c r="AA56" i="6"/>
  <c r="AC55" i="6"/>
  <c r="AA55" i="6"/>
  <c r="AC54" i="6"/>
  <c r="AA54" i="6"/>
  <c r="AC53" i="6"/>
  <c r="AA53" i="6"/>
  <c r="AC52" i="6"/>
  <c r="AA52" i="6"/>
  <c r="AC51" i="6"/>
  <c r="AA51" i="6"/>
  <c r="AC50" i="6"/>
  <c r="AA50" i="6"/>
  <c r="AC49" i="6"/>
  <c r="AA49" i="6"/>
  <c r="AD48" i="6"/>
  <c r="AB48" i="6"/>
  <c r="AD47" i="6"/>
  <c r="AB47" i="6"/>
  <c r="AC46" i="6"/>
  <c r="AA46" i="6"/>
  <c r="AC45" i="6"/>
  <c r="AA45" i="6"/>
  <c r="AC44" i="6"/>
  <c r="AA44" i="6"/>
  <c r="AC43" i="6"/>
  <c r="AA43" i="6"/>
  <c r="AC42" i="6"/>
  <c r="AA42" i="6"/>
  <c r="AC41" i="6"/>
  <c r="AA41" i="6"/>
  <c r="AC40" i="6"/>
  <c r="AA40" i="6"/>
  <c r="AC39" i="6"/>
  <c r="AA39" i="6"/>
  <c r="AC38" i="6"/>
  <c r="AA38" i="6"/>
  <c r="AC37" i="6"/>
  <c r="AB37" i="6"/>
  <c r="AA37" i="6"/>
  <c r="AG37" i="6" s="1"/>
  <c r="S23" i="6" s="1"/>
  <c r="AG36" i="6"/>
  <c r="Q22" i="6" s="1"/>
  <c r="AC36" i="6"/>
  <c r="AB36" i="6"/>
  <c r="AA36" i="6"/>
  <c r="AC35" i="6"/>
  <c r="AB35" i="6"/>
  <c r="AA35" i="6"/>
  <c r="AG35" i="6" s="1"/>
  <c r="S22" i="6" s="1"/>
  <c r="AC34" i="6"/>
  <c r="AB34" i="6"/>
  <c r="AA34" i="6"/>
  <c r="AG34" i="6" s="1"/>
  <c r="AG33" i="6"/>
  <c r="AC33" i="6"/>
  <c r="AB33" i="6"/>
  <c r="AA33" i="6"/>
  <c r="AC32" i="6"/>
  <c r="AB32" i="6"/>
  <c r="AA32" i="6"/>
  <c r="AG32" i="6" s="1"/>
  <c r="AC31" i="6"/>
  <c r="AB31" i="6"/>
  <c r="AA31" i="6"/>
  <c r="AG31" i="6" s="1"/>
  <c r="AG30" i="6"/>
  <c r="AC30" i="6"/>
  <c r="AB30" i="6"/>
  <c r="AA30" i="6"/>
  <c r="AC29" i="6"/>
  <c r="AB29" i="6"/>
  <c r="AA29" i="6"/>
  <c r="AG29" i="6" s="1"/>
  <c r="AC28" i="6"/>
  <c r="AB28" i="6"/>
  <c r="AA28" i="6"/>
  <c r="AG28" i="6" s="1"/>
  <c r="AG27" i="6"/>
  <c r="AC27" i="6"/>
  <c r="AB27" i="6"/>
  <c r="AA27" i="6"/>
  <c r="AC26" i="6"/>
  <c r="AB26" i="6"/>
  <c r="AA26" i="6"/>
  <c r="AG26" i="6" s="1"/>
  <c r="AC25" i="6"/>
  <c r="AB25" i="6"/>
  <c r="AA25" i="6"/>
  <c r="AG25" i="6" s="1"/>
  <c r="AG24" i="6"/>
  <c r="AC24" i="6"/>
  <c r="AB24" i="6"/>
  <c r="AA24" i="6"/>
  <c r="AC23" i="6"/>
  <c r="AB23" i="6"/>
  <c r="AA23" i="6"/>
  <c r="AG23" i="6" s="1"/>
  <c r="AC22" i="6"/>
  <c r="AG22" i="6" s="1"/>
  <c r="AA22" i="6"/>
  <c r="AC21" i="6"/>
  <c r="AB21" i="6"/>
  <c r="AA21" i="6"/>
  <c r="AG21" i="6" s="1"/>
  <c r="AC20" i="6"/>
  <c r="AB20" i="6"/>
  <c r="AG20" i="6" s="1"/>
  <c r="AA20" i="6"/>
  <c r="AC19" i="6"/>
  <c r="AB19" i="6"/>
  <c r="AA19" i="6"/>
  <c r="AD18" i="6"/>
  <c r="AG18" i="6" s="1"/>
  <c r="AC18" i="6"/>
  <c r="AB18" i="6"/>
  <c r="AA18" i="6"/>
  <c r="AC17" i="6"/>
  <c r="AB17" i="6"/>
  <c r="AA17" i="6"/>
  <c r="AC16" i="6"/>
  <c r="AD16" i="6" s="1"/>
  <c r="AB16" i="6"/>
  <c r="AA16" i="6"/>
  <c r="AC15" i="6"/>
  <c r="AD15" i="6" s="1"/>
  <c r="AG15" i="6" s="1"/>
  <c r="AB15" i="6"/>
  <c r="AA15" i="6"/>
  <c r="AC14" i="6"/>
  <c r="AD14" i="6" s="1"/>
  <c r="AB14" i="6"/>
  <c r="AA14" i="6"/>
  <c r="AG14" i="6" s="1"/>
  <c r="AC13" i="6"/>
  <c r="AD13" i="6" s="1"/>
  <c r="AG13" i="6" s="1"/>
  <c r="AB13" i="6"/>
  <c r="AA13" i="6"/>
  <c r="AD12" i="6"/>
  <c r="AG12" i="6" s="1"/>
  <c r="AC12" i="6"/>
  <c r="AB12" i="6"/>
  <c r="AA12" i="6"/>
  <c r="AC11" i="6"/>
  <c r="AD11" i="6" s="1"/>
  <c r="AG11" i="6" s="1"/>
  <c r="AB11" i="6"/>
  <c r="AA11" i="6"/>
  <c r="AC10" i="6"/>
  <c r="AD10" i="6" s="1"/>
  <c r="AB10" i="6"/>
  <c r="AA10" i="6"/>
  <c r="AC9" i="6"/>
  <c r="AD9" i="6" s="1"/>
  <c r="AG9" i="6" s="1"/>
  <c r="AB9" i="6"/>
  <c r="AA9" i="6"/>
  <c r="AC8" i="6"/>
  <c r="AB8" i="6"/>
  <c r="AA8" i="6"/>
  <c r="AG7" i="6"/>
  <c r="AC7" i="6"/>
  <c r="AB7" i="6"/>
  <c r="AA7" i="6"/>
  <c r="AC6" i="6"/>
  <c r="AD6" i="6" s="1"/>
  <c r="AG6" i="6" s="1"/>
  <c r="AB6" i="6"/>
  <c r="AA6" i="6"/>
  <c r="AC5" i="6"/>
  <c r="AB5" i="6"/>
  <c r="AA5" i="6"/>
  <c r="AC4" i="6"/>
  <c r="AD4" i="6" s="1"/>
  <c r="AB4" i="6"/>
  <c r="AA4" i="6"/>
  <c r="AC3" i="6"/>
  <c r="AD3" i="6" s="1"/>
  <c r="AG3" i="6" s="1"/>
  <c r="AB3" i="6"/>
  <c r="AA3" i="6"/>
  <c r="AC2" i="6"/>
  <c r="AB2" i="6"/>
  <c r="AA2" i="6"/>
  <c r="AA1" i="6"/>
  <c r="AC96" i="5"/>
  <c r="AA96" i="5"/>
  <c r="AC95" i="5"/>
  <c r="AA95" i="5"/>
  <c r="AC94" i="5"/>
  <c r="AA94" i="5"/>
  <c r="AC93" i="5"/>
  <c r="AA93" i="5"/>
  <c r="AC92" i="5"/>
  <c r="AA92" i="5"/>
  <c r="AC91" i="5"/>
  <c r="AA91" i="5"/>
  <c r="AC90" i="5"/>
  <c r="AA90" i="5"/>
  <c r="AC89" i="5"/>
  <c r="AA89" i="5"/>
  <c r="AC88" i="5"/>
  <c r="AA88" i="5"/>
  <c r="AC87" i="5"/>
  <c r="AA87" i="5"/>
  <c r="AC86" i="5"/>
  <c r="AA86" i="5"/>
  <c r="AC85" i="5"/>
  <c r="AA85" i="5"/>
  <c r="AC84" i="5"/>
  <c r="AA84" i="5"/>
  <c r="AC83" i="5"/>
  <c r="AA83" i="5"/>
  <c r="AC82" i="5"/>
  <c r="AA82" i="5"/>
  <c r="AC81" i="5"/>
  <c r="AA81" i="5"/>
  <c r="AC80" i="5"/>
  <c r="AA80" i="5"/>
  <c r="AC79" i="5"/>
  <c r="AA79" i="5"/>
  <c r="AC78" i="5"/>
  <c r="AA78" i="5"/>
  <c r="AC77" i="5"/>
  <c r="AA77" i="5"/>
  <c r="AC76" i="5"/>
  <c r="AA76" i="5"/>
  <c r="AC75" i="5"/>
  <c r="AA75" i="5"/>
  <c r="AC74" i="5"/>
  <c r="AA74" i="5"/>
  <c r="AC73" i="5"/>
  <c r="AA73" i="5"/>
  <c r="AC72" i="5"/>
  <c r="AA72" i="5"/>
  <c r="AC71" i="5"/>
  <c r="AA71" i="5"/>
  <c r="AC70" i="5"/>
  <c r="AA70" i="5"/>
  <c r="AC69" i="5"/>
  <c r="AA69" i="5"/>
  <c r="AC68" i="5"/>
  <c r="AA68" i="5"/>
  <c r="AC67" i="5"/>
  <c r="AA67" i="5"/>
  <c r="AC66" i="5"/>
  <c r="AA66" i="5"/>
  <c r="AC65" i="5"/>
  <c r="AA65" i="5"/>
  <c r="AC64" i="5"/>
  <c r="AA64" i="5"/>
  <c r="AC63" i="5"/>
  <c r="AA63" i="5"/>
  <c r="AC62" i="5"/>
  <c r="AA62" i="5"/>
  <c r="AC61" i="5"/>
  <c r="AA61" i="5"/>
  <c r="AC60" i="5"/>
  <c r="AA60" i="5"/>
  <c r="AC59" i="5"/>
  <c r="AA59" i="5"/>
  <c r="AC58" i="5"/>
  <c r="AA58" i="5"/>
  <c r="AC57" i="5"/>
  <c r="AA57" i="5"/>
  <c r="AC56" i="5"/>
  <c r="AA56" i="5"/>
  <c r="AC55" i="5"/>
  <c r="AA55" i="5"/>
  <c r="AC54" i="5"/>
  <c r="AA54" i="5"/>
  <c r="AC53" i="5"/>
  <c r="AA53" i="5"/>
  <c r="AC52" i="5"/>
  <c r="AA52" i="5"/>
  <c r="AC51" i="5"/>
  <c r="AA51" i="5"/>
  <c r="AC50" i="5"/>
  <c r="AA50" i="5"/>
  <c r="AC49" i="5"/>
  <c r="AA49" i="5"/>
  <c r="AD48" i="5"/>
  <c r="AB48" i="5"/>
  <c r="AD47" i="5"/>
  <c r="AB47" i="5"/>
  <c r="AC46" i="5"/>
  <c r="AA46" i="5"/>
  <c r="AC45" i="5"/>
  <c r="AA45" i="5"/>
  <c r="AC44" i="5"/>
  <c r="AA44" i="5"/>
  <c r="AC43" i="5"/>
  <c r="AA43" i="5"/>
  <c r="AC42" i="5"/>
  <c r="AA42" i="5"/>
  <c r="AC41" i="5"/>
  <c r="AA41" i="5"/>
  <c r="AC40" i="5"/>
  <c r="AA40" i="5"/>
  <c r="AC39" i="5"/>
  <c r="AA39" i="5"/>
  <c r="AC38" i="5"/>
  <c r="AA38" i="5"/>
  <c r="AC37" i="5"/>
  <c r="AA37" i="5"/>
  <c r="AE37" i="5" s="1"/>
  <c r="S23" i="5" s="1"/>
  <c r="Z37" i="5"/>
  <c r="AE36" i="5"/>
  <c r="AC36" i="5"/>
  <c r="AA36" i="5"/>
  <c r="Z36" i="5"/>
  <c r="AC35" i="5"/>
  <c r="AA35" i="5"/>
  <c r="AE35" i="5" s="1"/>
  <c r="S22" i="5" s="1"/>
  <c r="Z35" i="5"/>
  <c r="AC34" i="5"/>
  <c r="AE34" i="5" s="1"/>
  <c r="Q22" i="5" s="1"/>
  <c r="AA34" i="5"/>
  <c r="Z34" i="5"/>
  <c r="AE33" i="5"/>
  <c r="L13" i="5" s="1"/>
  <c r="AC33" i="5"/>
  <c r="AA33" i="5"/>
  <c r="Z33" i="5"/>
  <c r="AC32" i="5"/>
  <c r="AA32" i="5"/>
  <c r="AE32" i="5" s="1"/>
  <c r="Z32" i="5"/>
  <c r="AC31" i="5"/>
  <c r="AE31" i="5" s="1"/>
  <c r="AA31" i="5"/>
  <c r="Z31" i="5"/>
  <c r="AE30" i="5"/>
  <c r="AC30" i="5"/>
  <c r="AA30" i="5"/>
  <c r="Z30" i="5"/>
  <c r="AC29" i="5"/>
  <c r="AA29" i="5"/>
  <c r="AE29" i="5" s="1"/>
  <c r="Z29" i="5"/>
  <c r="AE28" i="5"/>
  <c r="AC28" i="5"/>
  <c r="AA28" i="5"/>
  <c r="Z28" i="5"/>
  <c r="AE27" i="5"/>
  <c r="J12" i="5" s="1"/>
  <c r="AC27" i="5"/>
  <c r="AA27" i="5"/>
  <c r="Z27" i="5"/>
  <c r="AC26" i="5"/>
  <c r="AA26" i="5"/>
  <c r="AE26" i="5" s="1"/>
  <c r="Z26" i="5"/>
  <c r="AC25" i="5"/>
  <c r="AE25" i="5" s="1"/>
  <c r="AA25" i="5"/>
  <c r="Z25" i="5"/>
  <c r="AE24" i="5"/>
  <c r="K11" i="5" s="1"/>
  <c r="AC24" i="5"/>
  <c r="AA24" i="5"/>
  <c r="Z24" i="5"/>
  <c r="AC23" i="5"/>
  <c r="AA23" i="5"/>
  <c r="AE23" i="5" s="1"/>
  <c r="Z23" i="5"/>
  <c r="Q23" i="5"/>
  <c r="L23" i="5"/>
  <c r="AE22" i="5"/>
  <c r="I11" i="5" s="1"/>
  <c r="AC22" i="5"/>
  <c r="AA22" i="5"/>
  <c r="Z22" i="5"/>
  <c r="AC21" i="5"/>
  <c r="AA21" i="5"/>
  <c r="AE21" i="5" s="1"/>
  <c r="S15" i="5" s="1"/>
  <c r="Z21" i="5"/>
  <c r="S21" i="5"/>
  <c r="AE20" i="5"/>
  <c r="Q15" i="5" s="1"/>
  <c r="AC20" i="5"/>
  <c r="AA20" i="5"/>
  <c r="Z20" i="5"/>
  <c r="Q20" i="5"/>
  <c r="AC19" i="5"/>
  <c r="AA19" i="5"/>
  <c r="AE19" i="5" s="1"/>
  <c r="Z19" i="5"/>
  <c r="AE18" i="5"/>
  <c r="I10" i="5" s="1"/>
  <c r="AC18" i="5"/>
  <c r="AA18" i="5"/>
  <c r="Z18" i="5"/>
  <c r="S18" i="5"/>
  <c r="J18" i="5"/>
  <c r="AC17" i="5"/>
  <c r="AE17" i="5" s="1"/>
  <c r="AA17" i="5"/>
  <c r="Z17" i="5"/>
  <c r="AC16" i="5"/>
  <c r="AA16" i="5"/>
  <c r="AE16" i="5" s="1"/>
  <c r="Q13" i="5" s="1"/>
  <c r="Z16" i="5"/>
  <c r="Q16" i="5"/>
  <c r="AE15" i="5"/>
  <c r="AC15" i="5"/>
  <c r="AA15" i="5"/>
  <c r="Z15" i="5"/>
  <c r="AC14" i="5"/>
  <c r="AA14" i="5"/>
  <c r="AE14" i="5" s="1"/>
  <c r="Z14" i="5"/>
  <c r="Q14" i="5"/>
  <c r="AC13" i="5"/>
  <c r="AE13" i="5" s="1"/>
  <c r="AA13" i="5"/>
  <c r="Z13" i="5"/>
  <c r="I13" i="5"/>
  <c r="AC12" i="5"/>
  <c r="AA12" i="5"/>
  <c r="AE12" i="5" s="1"/>
  <c r="B10" i="5" s="1"/>
  <c r="Z12" i="5"/>
  <c r="AC11" i="5"/>
  <c r="AA11" i="5"/>
  <c r="AE11" i="5" s="1"/>
  <c r="Z11" i="5"/>
  <c r="Q11" i="5"/>
  <c r="AC10" i="5"/>
  <c r="AA10" i="5"/>
  <c r="AE10" i="5" s="1"/>
  <c r="Z10" i="5"/>
  <c r="L10" i="5"/>
  <c r="K10" i="5"/>
  <c r="AC9" i="5"/>
  <c r="AA9" i="5"/>
  <c r="AE9" i="5" s="1"/>
  <c r="Z9" i="5"/>
  <c r="AC8" i="5"/>
  <c r="AA8" i="5"/>
  <c r="AE8" i="5" s="1"/>
  <c r="Z8" i="5"/>
  <c r="K8" i="5"/>
  <c r="AC7" i="5"/>
  <c r="AA7" i="5"/>
  <c r="AE7" i="5" s="1"/>
  <c r="Z7" i="5"/>
  <c r="L7" i="5"/>
  <c r="K7" i="5"/>
  <c r="AC6" i="5"/>
  <c r="AA6" i="5"/>
  <c r="AE6" i="5" s="1"/>
  <c r="Z6" i="5"/>
  <c r="S6" i="5"/>
  <c r="L6" i="5"/>
  <c r="J6" i="5"/>
  <c r="AC5" i="5"/>
  <c r="AA5" i="5"/>
  <c r="AE5" i="5" s="1"/>
  <c r="Z5" i="5"/>
  <c r="D5" i="5"/>
  <c r="AC4" i="5"/>
  <c r="AE4" i="5" s="1"/>
  <c r="AA4" i="5"/>
  <c r="Z4" i="5"/>
  <c r="AE3" i="5"/>
  <c r="I36" i="5" s="1"/>
  <c r="AC3" i="5"/>
  <c r="AA3" i="5"/>
  <c r="Z3" i="5"/>
  <c r="AC2" i="5"/>
  <c r="AA2" i="5"/>
  <c r="AE2" i="5" s="1"/>
  <c r="AD8" i="6" s="1"/>
  <c r="AG8" i="6" s="1"/>
  <c r="Z2" i="5"/>
  <c r="AD7" i="6" s="1"/>
  <c r="AC1" i="5"/>
  <c r="AA1" i="5"/>
  <c r="J18" i="6" l="1"/>
  <c r="S6" i="6"/>
  <c r="L23" i="6"/>
  <c r="J6" i="6"/>
  <c r="D7" i="6"/>
  <c r="D10" i="5"/>
  <c r="L8" i="5"/>
  <c r="S11" i="5"/>
  <c r="L11" i="5"/>
  <c r="S17" i="5"/>
  <c r="B10" i="6"/>
  <c r="Q9" i="6"/>
  <c r="K7" i="6"/>
  <c r="S11" i="6"/>
  <c r="L8" i="6"/>
  <c r="Q7" i="5"/>
  <c r="B6" i="5"/>
  <c r="K6" i="5"/>
  <c r="I37" i="5"/>
  <c r="J13" i="5"/>
  <c r="S20" i="5"/>
  <c r="S13" i="5"/>
  <c r="L9" i="5"/>
  <c r="I12" i="6"/>
  <c r="Q18" i="6"/>
  <c r="I8" i="5"/>
  <c r="B9" i="5"/>
  <c r="Q10" i="5"/>
  <c r="Q16" i="6"/>
  <c r="I11" i="6"/>
  <c r="S10" i="6"/>
  <c r="J8" i="6"/>
  <c r="I10" i="6"/>
  <c r="Q14" i="6"/>
  <c r="J11" i="6"/>
  <c r="S16" i="6"/>
  <c r="L13" i="6"/>
  <c r="S21" i="6"/>
  <c r="B8" i="5"/>
  <c r="Q9" i="5"/>
  <c r="J10" i="5"/>
  <c r="S14" i="5"/>
  <c r="AG19" i="6"/>
  <c r="J9" i="6"/>
  <c r="S12" i="6"/>
  <c r="Q20" i="6"/>
  <c r="I13" i="6"/>
  <c r="I7" i="5"/>
  <c r="Q8" i="5"/>
  <c r="B7" i="5"/>
  <c r="K9" i="5"/>
  <c r="AD2" i="6"/>
  <c r="AG2" i="6" s="1"/>
  <c r="AG16" i="6"/>
  <c r="AD19" i="6"/>
  <c r="S20" i="6"/>
  <c r="J13" i="6"/>
  <c r="S12" i="5"/>
  <c r="J9" i="5"/>
  <c r="D9" i="6"/>
  <c r="J7" i="6"/>
  <c r="S8" i="6"/>
  <c r="J8" i="5"/>
  <c r="S10" i="5"/>
  <c r="D9" i="5"/>
  <c r="Q12" i="5"/>
  <c r="I9" i="5"/>
  <c r="Q19" i="5"/>
  <c r="K12" i="5"/>
  <c r="Q21" i="5"/>
  <c r="K13" i="5"/>
  <c r="Q15" i="6"/>
  <c r="K10" i="6"/>
  <c r="K12" i="6"/>
  <c r="Q19" i="6"/>
  <c r="Q12" i="6"/>
  <c r="I9" i="6"/>
  <c r="K8" i="6"/>
  <c r="Q11" i="6"/>
  <c r="S18" i="6"/>
  <c r="J12" i="6"/>
  <c r="S9" i="5"/>
  <c r="D8" i="5"/>
  <c r="S19" i="5"/>
  <c r="L12" i="5"/>
  <c r="B9" i="6"/>
  <c r="I7" i="6"/>
  <c r="Q8" i="6"/>
  <c r="S9" i="6"/>
  <c r="D10" i="6"/>
  <c r="L7" i="6"/>
  <c r="Q17" i="6"/>
  <c r="K11" i="6"/>
  <c r="Q21" i="6"/>
  <c r="K13" i="6"/>
  <c r="I12" i="5"/>
  <c r="Q18" i="5"/>
  <c r="S15" i="6"/>
  <c r="L10" i="6"/>
  <c r="S17" i="6"/>
  <c r="L11" i="6"/>
  <c r="K23" i="5"/>
  <c r="I6" i="5"/>
  <c r="I35" i="5"/>
  <c r="I18" i="5"/>
  <c r="B5" i="5"/>
  <c r="Q6" i="5"/>
  <c r="D6" i="5"/>
  <c r="I38" i="5"/>
  <c r="S7" i="5"/>
  <c r="J7" i="5"/>
  <c r="D7" i="5"/>
  <c r="S8" i="5"/>
  <c r="S16" i="5"/>
  <c r="J11" i="5"/>
  <c r="AG4" i="6"/>
  <c r="AG10" i="6"/>
  <c r="AD17" i="6"/>
  <c r="AG17" i="6" s="1"/>
  <c r="L12" i="6"/>
  <c r="S19" i="6"/>
  <c r="Q17" i="5"/>
  <c r="AD5" i="6"/>
  <c r="AG5" i="6" s="1"/>
  <c r="S13" i="6" l="1"/>
  <c r="L9" i="6"/>
  <c r="K23" i="6"/>
  <c r="I18" i="6"/>
  <c r="Q6" i="6"/>
  <c r="B7" i="6"/>
  <c r="I6" i="6"/>
  <c r="K9" i="6"/>
  <c r="Q13" i="6"/>
  <c r="Q10" i="6"/>
  <c r="I8" i="6"/>
  <c r="B8" i="6"/>
  <c r="Q7" i="6"/>
  <c r="K6" i="6"/>
  <c r="S14" i="6"/>
  <c r="J10" i="6"/>
  <c r="S7" i="6"/>
  <c r="L6" i="6"/>
  <c r="D8" i="6"/>
</calcChain>
</file>

<file path=xl/sharedStrings.xml><?xml version="1.0" encoding="utf-8"?>
<sst xmlns="http://schemas.openxmlformats.org/spreadsheetml/2006/main" count="578" uniqueCount="274">
  <si>
    <t>SRId</t>
  </si>
  <si>
    <t>BUILDING ID</t>
  </si>
  <si>
    <t>AREA TYPE</t>
  </si>
  <si>
    <t>ΟΡΟΦΟΙ</t>
  </si>
  <si>
    <t>ΟΡΟΦΟΣ ΠΕΛΑΤΗ</t>
  </si>
  <si>
    <t>ΟΡΟΦΟΣ BEP</t>
  </si>
  <si>
    <t>ΥΠΟΓΡΑΦΗ ΔΙΑΧΕΙΡΙΣΤΗ</t>
  </si>
  <si>
    <t>BEP ONLY</t>
  </si>
  <si>
    <t>BEP TEMPLATE</t>
  </si>
  <si>
    <t>BEP TYPE</t>
  </si>
  <si>
    <t>BMO TYPE</t>
  </si>
  <si>
    <t>ΥΠΟΔΟΜΗ ΑΠΟ ΔΕΗ-ΚΑΤΑΣΚΕΥΗ ΜΕ NANOTRONIX</t>
  </si>
  <si>
    <t>NANOTRONIX</t>
  </si>
  <si>
    <t>SMART READINESS</t>
  </si>
  <si>
    <t>ΣΥΣΧΕΤΙΣΜΕΝΟ BCP</t>
  </si>
  <si>
    <t>ΚΟΝΤΙΝΟ BCP</t>
  </si>
  <si>
    <t>ΝΕΟ BCP</t>
  </si>
  <si>
    <t>CONDUIT</t>
  </si>
  <si>
    <t>ΑΠΟΣΤΑΣΗ ΑΠΟ ΚΑΜΠΙΝΑ</t>
  </si>
  <si>
    <t>LATITUDE</t>
  </si>
  <si>
    <t>LONGITUDE</t>
  </si>
  <si>
    <t>NOTES</t>
  </si>
  <si>
    <t>WARNING</t>
  </si>
  <si>
    <t>FAILURE</t>
  </si>
  <si>
    <t>2-339414353721</t>
  </si>
  <si>
    <t>754086020</t>
  </si>
  <si>
    <t>OTE</t>
  </si>
  <si>
    <t>+03</t>
  </si>
  <si>
    <t>+00</t>
  </si>
  <si>
    <t>BEP 4SP 1:8(01a..09d) ΟΔ</t>
  </si>
  <si>
    <t>X-LARGE/48/RAYCAP</t>
  </si>
  <si>
    <t>LARGE/80/RAYCAP</t>
  </si>
  <si>
    <t>b09</t>
  </si>
  <si>
    <t>225</t>
  </si>
  <si>
    <t>37964513</t>
  </si>
  <si>
    <t>23565680</t>
  </si>
  <si>
    <t>ΟΡΟΦΟΣ</t>
  </si>
  <si>
    <t>ΔΙΑΜΕΡΙΣΜΑΤΑ</t>
  </si>
  <si>
    <t>ΚΑΤΑΣΤΗΜΑΤΑ</t>
  </si>
  <si>
    <t>FB01</t>
  </si>
  <si>
    <t>FB01 TYPE</t>
  </si>
  <si>
    <t>FB02</t>
  </si>
  <si>
    <t>FB02 TYPE</t>
  </si>
  <si>
    <t>FB03</t>
  </si>
  <si>
    <t>FB03 TYPE</t>
  </si>
  <si>
    <t>FB04</t>
  </si>
  <si>
    <t>FB04 TYPE</t>
  </si>
  <si>
    <t>FB ΠΕΛΑΤΗ</t>
  </si>
  <si>
    <t>ΑΡΙΘΜΗΣΗ ΧΩΡΟΥ ΠΕΛΑΤΗ</t>
  </si>
  <si>
    <t>GIS ID</t>
  </si>
  <si>
    <t>-01</t>
  </si>
  <si>
    <t>FB 12 PORTS</t>
  </si>
  <si>
    <t>+01</t>
  </si>
  <si>
    <t>+02</t>
  </si>
  <si>
    <t>FB(+03).1</t>
  </si>
  <si>
    <t>Γ1</t>
  </si>
  <si>
    <t>OPTICAL PATH TYPE</t>
  </si>
  <si>
    <t>OPTICAL PATH</t>
  </si>
  <si>
    <t>GISID</t>
  </si>
  <si>
    <t>CAB-BEP</t>
  </si>
  <si>
    <t>G489_SGA03(1:8).02_B1.9_BEP01(b09)_01a_SB01(1:8)</t>
  </si>
  <si>
    <t>G489_SGA03(1:8).03_B1.10_BEP01(b09)_01b_SB02(1:8)</t>
  </si>
  <si>
    <t>G489_SGA03(1:8).04_B1.11_BEP01(b09)_01c_SB03(1:8)</t>
  </si>
  <si>
    <t>G489_SGA03(1:8).05_B1.12_BEP01(b09)_01d_SB04(1:8)</t>
  </si>
  <si>
    <t>BEP-BMO</t>
  </si>
  <si>
    <t>BEP01(b09)_SB01(1:8).01_02a_BMO01_1</t>
  </si>
  <si>
    <t>BEP01(b09)_SB01(1:8).02_02b_BMO01_2</t>
  </si>
  <si>
    <t>BEP01(b09)_SB01(1:8).03_02c_BMO01_3</t>
  </si>
  <si>
    <t>BEP01(b09)_SB01(1:8).04_02d_BMO01_4</t>
  </si>
  <si>
    <t>BEP01(b09)_SB01(1:8).05_03a_BMO01_5</t>
  </si>
  <si>
    <t>BEP01(b09)_SB01(1:8).06_03b_BMO01_6</t>
  </si>
  <si>
    <t>BEP01(b09)_SB01(1:8).07_03c_BMO01_13</t>
  </si>
  <si>
    <t>BEP01(b09)_SB01(1:8).08_03d_BMO01_14</t>
  </si>
  <si>
    <t>BEP01(b09)_SB02(1:8).01_04a_BMO01_17</t>
  </si>
  <si>
    <t>BEP01(b09)_SB02(1:8).02_04b_BMO01_18</t>
  </si>
  <si>
    <t>BEP01(b09)_SB02(1:8).03_04c_BMO01_19</t>
  </si>
  <si>
    <t>BEP01(b09)_SB02(1:8).04_04d_BMO01_20</t>
  </si>
  <si>
    <t>BEP01(b09)_SB02(1:8).05_05a_BMO01_21</t>
  </si>
  <si>
    <t>BEP01(b09)_SB02(1:8).06_05b_BMO01_22</t>
  </si>
  <si>
    <t>BEP01(b09)_SB02(1:8).07_05c_BMO01_29</t>
  </si>
  <si>
    <t>BEP01(b09)_SB02(1:8).08_05d_BMO01_30</t>
  </si>
  <si>
    <t>BEP01(b09)_SB03(1:8).01_06a_BMO01_31</t>
  </si>
  <si>
    <t>BEP01(b09)_SB03(1:8).02_06b_BMO01_32</t>
  </si>
  <si>
    <t>BEP01(b09)_SB03(1:8).03_06c_BMO01_33</t>
  </si>
  <si>
    <t>BEP01(b09)_SB03(1:8).04_06d_BMO01_34</t>
  </si>
  <si>
    <t>BEP01(b09)_SB03(1:8).05_07a_BMO01_41</t>
  </si>
  <si>
    <t>BEP01(b09)_SB03(1:8).06_07b_BMO01_42</t>
  </si>
  <si>
    <t>BEP01(b09)_SB03(1:8).07_07c_BMO01_43</t>
  </si>
  <si>
    <t>BEP01(b09)_SB03(1:8).08_07d_BMO01_44</t>
  </si>
  <si>
    <t>BEP01(b09)_SB04(1:8).01_08a_BMO01_45</t>
  </si>
  <si>
    <t>BEP01(b09)_SB04(1:8).02_08b_BMO01_46</t>
  </si>
  <si>
    <t>BEP</t>
  </si>
  <si>
    <t>BEP01(b09)_SB04(1:8).03_08c</t>
  </si>
  <si>
    <t>BEP01(b09)_SB04(1:8).04_08d</t>
  </si>
  <si>
    <t>BEP01(b09)_SB04(1:8).05_09a</t>
  </si>
  <si>
    <t>BEP01(b09)_SB04(1:8).06_09b</t>
  </si>
  <si>
    <t>BEP01(b09)_SB04(1:8).07_09c</t>
  </si>
  <si>
    <t>BEP01(b09)_SB04(1:8).08_09d</t>
  </si>
  <si>
    <t>BMO-FB</t>
  </si>
  <si>
    <t>BMO01_1_FB(+00).1_01</t>
  </si>
  <si>
    <t>BMO01_10_FB(+00).1_10</t>
  </si>
  <si>
    <t>BMO01_11_FB(+00).1_11</t>
  </si>
  <si>
    <t>BMO01_12_FB(+00).1_12</t>
  </si>
  <si>
    <t>BMO01_13_FB(+00).2_01</t>
  </si>
  <si>
    <t>BMO01_14_FB(+00).2_02</t>
  </si>
  <si>
    <t>BMO01_15_FB(+00).2_03</t>
  </si>
  <si>
    <t>BMO01_16_FB(+00).2_04</t>
  </si>
  <si>
    <t>BMO01_17_FB(+01).1_01</t>
  </si>
  <si>
    <t>BMO01_18_FB(+01).1_02</t>
  </si>
  <si>
    <t>BMO01_19_FB(+01).1_03</t>
  </si>
  <si>
    <t>BMO01_2_FB(+00).1_02</t>
  </si>
  <si>
    <t>BMO01_20_FB(+01).1_04</t>
  </si>
  <si>
    <t>BMO01_21_FB(+01).1_05</t>
  </si>
  <si>
    <t>BMO01_22_FB(+01).1_06</t>
  </si>
  <si>
    <t>BMO01_23_FB(+01).1_07</t>
  </si>
  <si>
    <t>BMO01_24_FB(+01).1_08</t>
  </si>
  <si>
    <t>BMO01_25_FB(+01).1_09</t>
  </si>
  <si>
    <t>BMO01_26_FB(+01).1_10</t>
  </si>
  <si>
    <t>BMO01_27_FB(+01).1_11</t>
  </si>
  <si>
    <t>BMO01_28_FB(+01).1_12</t>
  </si>
  <si>
    <t>BMO01_29_FB(+02).1_01</t>
  </si>
  <si>
    <t>BMO01_3_FB(+00).1_03</t>
  </si>
  <si>
    <t>BMO01_30_FB(+02).1_02</t>
  </si>
  <si>
    <t>BMO01_31_FB(+02).1_03</t>
  </si>
  <si>
    <t>BMO01_32_FB(+02).1_04</t>
  </si>
  <si>
    <t>BMO01_33_FB(+02).1_05</t>
  </si>
  <si>
    <t>BMO01_34_FB(+02).1_06</t>
  </si>
  <si>
    <t>BMO01_35_FB(+02).1_07</t>
  </si>
  <si>
    <t>BMO01_36_FB(+02).1_08</t>
  </si>
  <si>
    <t>BMO01_37_FB(+02).1_09</t>
  </si>
  <si>
    <t>BMO01_38_FB(+02).1_10</t>
  </si>
  <si>
    <t>BMO01_39_FB(+02).1_11</t>
  </si>
  <si>
    <t>BMO01_4_FB(+00).1_04</t>
  </si>
  <si>
    <t>BMO01_40_FB(+02).1_12</t>
  </si>
  <si>
    <t>BMO01_41_FB(+03).1_01</t>
  </si>
  <si>
    <t>BMO01_42_FB(+03).1_02</t>
  </si>
  <si>
    <t>BMO01_43_FB(+03).1_03</t>
  </si>
  <si>
    <t>BMO01_44_FB(+03).1_04</t>
  </si>
  <si>
    <t>BMO01_45_FB(+03).1_05</t>
  </si>
  <si>
    <t>BMO01_46_FB(+03).1_06</t>
  </si>
  <si>
    <t>BMO01_47_FB(+03).1_07</t>
  </si>
  <si>
    <t>BMO01_48_FB(+03).1_08</t>
  </si>
  <si>
    <t>BMO01_49_FB(+03).1_09</t>
  </si>
  <si>
    <t>BMO01_5_FB(+00).1_05</t>
  </si>
  <si>
    <t>BMO01_50_FB(+03).1_10</t>
  </si>
  <si>
    <t>BMO01_51_FB(+03).1_11</t>
  </si>
  <si>
    <t>BMO01_52_FB(+03).1_12</t>
  </si>
  <si>
    <t>BMO01_6_FB(+00).1_06</t>
  </si>
  <si>
    <t>BMO01_7_FB(+00).1_07</t>
  </si>
  <si>
    <t>BMO01_8_FB(+00).1_08</t>
  </si>
  <si>
    <t>BMO01_9_FB(+00).1_09</t>
  </si>
  <si>
    <t>ΤΥΠΟΣ ΕΡΓΑΣΙΑΣ</t>
  </si>
  <si>
    <t>ΕΡΓΑΣΙΑ</t>
  </si>
  <si>
    <t>ΠΟΣΟΤΗΤΑ</t>
  </si>
  <si>
    <t>index for bep</t>
  </si>
  <si>
    <t xml:space="preserve">ΒΜΟ XLARGE BEP with 1 splitter </t>
  </si>
  <si>
    <t xml:space="preserve">Medium BMO with 1 splitter </t>
  </si>
  <si>
    <t xml:space="preserve">ΒΜΟ LARGE BEP with 1 splitter </t>
  </si>
  <si>
    <t>ΘΕΣΗ</t>
  </si>
  <si>
    <t>A</t>
  </si>
  <si>
    <t>B</t>
  </si>
  <si>
    <t>ΠΑΡΑΤΗΡΗΣΕΙΣ</t>
  </si>
  <si>
    <t>Α</t>
  </si>
  <si>
    <t>Β</t>
  </si>
  <si>
    <t>C</t>
  </si>
  <si>
    <t>D</t>
  </si>
  <si>
    <t>από καμπίνα</t>
  </si>
  <si>
    <t>-</t>
  </si>
  <si>
    <t>χωρίς ports</t>
  </si>
  <si>
    <t xml:space="preserve">SMALL BEP with 1 splitter </t>
  </si>
  <si>
    <t xml:space="preserve">Medium BCP with 1 splitter </t>
  </si>
  <si>
    <t xml:space="preserve">SMALL BCP with 1 splitter </t>
  </si>
  <si>
    <t>SMALL BMO</t>
  </si>
  <si>
    <t>A1</t>
  </si>
  <si>
    <t>B1</t>
  </si>
  <si>
    <t>C1</t>
  </si>
  <si>
    <t>D1</t>
  </si>
  <si>
    <t>index for bmo</t>
  </si>
  <si>
    <t xml:space="preserve">XLARGE BEP with 1 splitter </t>
  </si>
  <si>
    <t xml:space="preserve">Medium BEP with 1 splitter </t>
  </si>
  <si>
    <t xml:space="preserve">LARGE BEP with 1 splitter </t>
  </si>
  <si>
    <t>SMALL BCP with 1 splitter  ZTT</t>
  </si>
  <si>
    <t>Τύπος</t>
  </si>
  <si>
    <t>ΤΥΠΟΣ ΚΟΙ</t>
  </si>
  <si>
    <t>ΣΗΜΕΙΟ ΤΟΠΟΘΕΤΗΣΗΣ</t>
  </si>
  <si>
    <t>ΕΙΔΟΣ</t>
  </si>
  <si>
    <t>Είδος κάθετης υποδομής</t>
  </si>
  <si>
    <t>FIRST BOX</t>
  </si>
  <si>
    <t>ΕΙΔΟΣ ΥΠΟΔΟΜΗΣ</t>
  </si>
  <si>
    <t>ΤΥΠΟΣ ΚΟΙ ΣΥΝΔΕΣΗ  ΒCP ΜΕ BEP</t>
  </si>
  <si>
    <t xml:space="preserve">ΝΕΑ ΑΠΟΜΑΣΤΕΥΣΗ </t>
  </si>
  <si>
    <t>RETAIL</t>
  </si>
  <si>
    <t>4' μ cable</t>
  </si>
  <si>
    <t>BCP ΕΠΙ ΤΟΥ ΚΤΙΡΙΟΥ</t>
  </si>
  <si>
    <t>BCP ΝΕΟ</t>
  </si>
  <si>
    <t>ΚΑΓΚΕΛΟ</t>
  </si>
  <si>
    <t>ΝΕΑ ΥΠΟΔΟΜΗ</t>
  </si>
  <si>
    <t>ΥΠ 2</t>
  </si>
  <si>
    <t>4 FO  G652D</t>
  </si>
  <si>
    <t>ΝΑΙ</t>
  </si>
  <si>
    <t>0  ΣΤΟΙΧΕΙΑ  ΑΙΤΗΜΑΤΟΣ</t>
  </si>
  <si>
    <t>WHOLESALE</t>
  </si>
  <si>
    <t>12' μ cable</t>
  </si>
  <si>
    <t xml:space="preserve">BCP ΕΠΙ ΡΥΜΟΤΟΜΙΚΗΣ </t>
  </si>
  <si>
    <t>ΥΦΙΣΤΑΜΕΝΟ</t>
  </si>
  <si>
    <t>ΚΛΙΜΑΚΟΣΤΑΣΙΟ</t>
  </si>
  <si>
    <t>BCP</t>
  </si>
  <si>
    <t>ΕΣΚΑΛΗΤ</t>
  </si>
  <si>
    <t>ΥΠ 1</t>
  </si>
  <si>
    <t>12 FO G652D</t>
  </si>
  <si>
    <t>ΌΧΙ</t>
  </si>
  <si>
    <t>Κατηγορία</t>
  </si>
  <si>
    <t>SR</t>
  </si>
  <si>
    <t>ΔΙΕΥΘΥΝΣΗ</t>
  </si>
  <si>
    <t>ΑΚ</t>
  </si>
  <si>
    <t>WHOLEBUY</t>
  </si>
  <si>
    <t>12'= 4 μ cable</t>
  </si>
  <si>
    <t>BCP ΣΤΥΛΟΣ</t>
  </si>
  <si>
    <t>ΥΦΙΣΤΑΜΕΝΟ ενεργό</t>
  </si>
  <si>
    <t>ΕΞΩΤΕΡΙΚΑ ΕΠΙΤΟΙΧΙΑ:</t>
  </si>
  <si>
    <t>ΥΠ</t>
  </si>
  <si>
    <t>Aerial flat drop cable 2 FΟ</t>
  </si>
  <si>
    <t>PILOT</t>
  </si>
  <si>
    <t>12' =8 μ cable</t>
  </si>
  <si>
    <t>ΦΩΤΑΓΩΓΟΣ:</t>
  </si>
  <si>
    <t>ΗΜΥ</t>
  </si>
  <si>
    <t>2 FO  G657A</t>
  </si>
  <si>
    <t>1 ΚΤΗΡΙΟ</t>
  </si>
  <si>
    <t>ΑΛΛΟ</t>
  </si>
  <si>
    <t>ΙΣ</t>
  </si>
  <si>
    <t>ΗΜ</t>
  </si>
  <si>
    <t>COPY PASTE VALUES FROM TAB ΚΤΗΡΙΟ</t>
  </si>
  <si>
    <t>1ος</t>
  </si>
  <si>
    <t>2ος</t>
  </si>
  <si>
    <t>2 KOI  CAB first box ( BEP ή BCP)</t>
  </si>
  <si>
    <t>3ος</t>
  </si>
  <si>
    <t>4ος</t>
  </si>
  <si>
    <t>ΜΗΚΟΣ (m)</t>
  </si>
  <si>
    <t>5ος</t>
  </si>
  <si>
    <t>6ος</t>
  </si>
  <si>
    <t>7ος</t>
  </si>
  <si>
    <t>3.  KOI BCP--BEP</t>
  </si>
  <si>
    <t>8ος</t>
  </si>
  <si>
    <t>9ος</t>
  </si>
  <si>
    <t>10ος</t>
  </si>
  <si>
    <t>11ος</t>
  </si>
  <si>
    <t>4. BEP-ΟΡΟΦΟΙ</t>
  </si>
  <si>
    <t>ΟΡΟΦΟΣ ΤΟΠΟΘΕΤΗΣΗΣ ΒΕΡ</t>
  </si>
  <si>
    <t>ΔΙΑΜΕΡΙΣΜΑ ΠΕΛΑΤΗ</t>
  </si>
  <si>
    <t>ΜΕΤΡΑ</t>
  </si>
  <si>
    <t>ΕΙΔΟΣ 2'',4",12"</t>
  </si>
  <si>
    <t>COPY PASTE VALUES FROM ΤΑΒ ΟΡΟΦΟΙ</t>
  </si>
  <si>
    <t>5. ΣΤΟΙΧΕΙΑ ΚΑΜΠΙΝΑΣ/ LABEL BEP/BCP</t>
  </si>
  <si>
    <t>5. ΣΤΟΙΧΕΙΑ BMO</t>
  </si>
  <si>
    <t>COPY PASTE VALUES FROM TAB OPTICAL PATHS ( CAB-BEP, CAB-BCP,BCP-BEP)</t>
  </si>
  <si>
    <t xml:space="preserve">6 ΟΡΙΖΟΝΤΟΓΡΑΦΙΑ. </t>
  </si>
  <si>
    <t>ΑΠΟΣΤΑΣΗ  ΒΜΟ- BEP</t>
  </si>
  <si>
    <t>ΕΙΔΟΣ ΕΙΣΑΓΩΓΗΣ</t>
  </si>
  <si>
    <t>NEA YPODOMH</t>
  </si>
  <si>
    <t>Ball Marker -BEP</t>
  </si>
  <si>
    <t>Μ/Σ</t>
  </si>
  <si>
    <t>ΝΕΑ ΣΩΛΗΝΩΣΗ</t>
  </si>
  <si>
    <t>ΣΩΛΗΝΩΣΗ ΕΙΣΑΓΩΓΗΣ</t>
  </si>
  <si>
    <t>ΕΣΚΑΛΗΤ -BEP</t>
  </si>
  <si>
    <t>ΕΣΚΑΛΗΤ Β1</t>
  </si>
  <si>
    <t>BCP ΕΙΔΟΣ</t>
  </si>
  <si>
    <t>Ball Marker -BCP</t>
  </si>
  <si>
    <t>ΑΛΛΑΓΕΣ ΠΡΟΔΕΣΜΕΥΣΗΣ</t>
  </si>
  <si>
    <t>BCP-BEP ( υποδομη καν/κουβ κλπ)</t>
  </si>
  <si>
    <t>BCP-BEP (ΕΝΑΕΡΙΑ)</t>
  </si>
  <si>
    <t>ΚΑΡΑΟΛΗ ΚΑΙ ΔΗΜΗΤΡΙΟΥ 12</t>
  </si>
  <si>
    <t>ΠΕΡΑ</t>
  </si>
  <si>
    <t>25+20</t>
  </si>
  <si>
    <t>12+12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</si>
</sst>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name val="Calibri"/>
    </font>
    <font>
      <sz val="11"/>
      <color theme="1"/>
      <name val="Aptos Narrow"/>
      <family val="2"/>
      <charset val="161"/>
      <scheme val="minor"/>
    </font>
    <font>
      <b/>
      <sz val="11"/>
      <name val="Calibri"/>
    </font>
    <font>
      <b/>
      <sz val="11"/>
      <color theme="1"/>
      <name val="Aptos Narrow"/>
      <family val="2"/>
      <charset val="161"/>
      <scheme val="minor"/>
    </font>
    <font>
      <sz val="11"/>
      <name val="Calibri"/>
      <family val="2"/>
      <charset val="161"/>
    </font>
    <font>
      <sz val="11"/>
      <color rgb="FF000000"/>
      <name val="Calibri"/>
      <family val="2"/>
      <charset val="161"/>
    </font>
    <font>
      <b/>
      <sz val="13"/>
      <color rgb="FFFF0000"/>
      <name val="Calibri"/>
      <family val="2"/>
      <charset val="161"/>
    </font>
    <font>
      <b/>
      <sz val="11"/>
      <name val="Calibri"/>
      <family val="2"/>
      <charset val="161"/>
    </font>
    <font>
      <sz val="9"/>
      <color rgb="FF000000"/>
      <name val="Courier New"/>
      <family val="3"/>
      <charset val="161"/>
    </font>
    <font>
      <b/>
      <sz val="12"/>
      <name val="Calibri"/>
      <family val="2"/>
      <charset val="161"/>
    </font>
    <font>
      <b/>
      <sz val="10"/>
      <color rgb="FF000000"/>
      <name val="Arial"/>
      <family val="2"/>
      <charset val="161"/>
    </font>
    <font>
      <sz val="14"/>
      <color rgb="FF000000"/>
      <name val="Calibri"/>
      <family val="2"/>
      <charset val="161"/>
    </font>
    <font>
      <b/>
      <sz val="14"/>
      <color rgb="FF000000"/>
      <name val="Calibri"/>
      <family val="2"/>
      <charset val="161"/>
    </font>
    <font>
      <sz val="14"/>
      <name val="Calibri"/>
      <family val="2"/>
      <charset val="161"/>
    </font>
    <font>
      <b/>
      <sz val="9"/>
      <name val="Aptos Narrow"/>
      <family val="2"/>
      <charset val="161"/>
      <scheme val="minor"/>
    </font>
    <font>
      <b/>
      <sz val="14"/>
      <color rgb="FF000000"/>
      <name val="Aptos Narrow"/>
      <family val="2"/>
      <charset val="161"/>
      <scheme val="minor"/>
    </font>
    <font>
      <sz val="14"/>
      <color rgb="FF000000"/>
      <name val="Aptos Narrow"/>
      <family val="2"/>
      <charset val="161"/>
      <scheme val="minor"/>
    </font>
    <font>
      <sz val="14"/>
      <name val="Aptos Narrow"/>
      <family val="2"/>
      <charset val="161"/>
      <scheme val="minor"/>
    </font>
    <font>
      <b/>
      <sz val="11"/>
      <name val="Aptos Narrow"/>
      <family val="2"/>
      <charset val="161"/>
      <scheme val="minor"/>
    </font>
    <font>
      <sz val="13"/>
      <color rgb="FF000000"/>
      <name val="Calibri"/>
      <family val="2"/>
      <charset val="161"/>
    </font>
    <font>
      <sz val="11"/>
      <color rgb="FF000000"/>
      <name val="Aptos Narrow"/>
      <family val="2"/>
      <charset val="161"/>
      <scheme val="minor"/>
    </font>
    <font>
      <sz val="11"/>
      <color rgb="FF9C5700"/>
      <name val="Aptos Narrow"/>
      <family val="2"/>
      <scheme val="minor"/>
    </font>
    <font>
      <b/>
      <sz val="14"/>
      <color theme="1"/>
      <name val="Aptos Narrow"/>
      <family val="2"/>
      <charset val="161"/>
      <scheme val="minor"/>
    </font>
    <font>
      <sz val="12"/>
      <color rgb="FF000000"/>
      <name val="Calibri"/>
      <family val="2"/>
      <charset val="161"/>
    </font>
    <font>
      <sz val="12"/>
      <name val="Calibri"/>
      <family val="2"/>
      <charset val="161"/>
    </font>
    <font>
      <b/>
      <sz val="9"/>
      <color rgb="FF000000"/>
      <name val="Calibri"/>
      <family val="2"/>
      <charset val="161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rgb="FFFF0000"/>
      <name val="Calibri"/>
      <family val="2"/>
      <charset val="161"/>
    </font>
    <font>
      <b/>
      <sz val="10"/>
      <color rgb="FF000000"/>
      <name val="Arial Narrow"/>
      <family val="2"/>
      <charset val="161"/>
    </font>
    <font>
      <b/>
      <sz val="9"/>
      <name val="Calibri"/>
      <family val="2"/>
      <charset val="161"/>
    </font>
    <font>
      <sz val="10"/>
      <name val="Arial Narrow"/>
      <family val="2"/>
      <charset val="161"/>
    </font>
    <font>
      <b/>
      <sz val="11"/>
      <color theme="0"/>
      <name val="Calibri"/>
      <family val="2"/>
      <charset val="161"/>
    </font>
    <font>
      <b/>
      <sz val="10"/>
      <name val="Arial Narrow"/>
      <family val="2"/>
      <charset val="161"/>
    </font>
    <font>
      <b/>
      <sz val="11"/>
      <color rgb="FF9C5700"/>
      <name val="Aptos Narrow"/>
      <family val="2"/>
      <charset val="161"/>
      <scheme val="minor"/>
    </font>
    <font>
      <sz val="13"/>
      <color theme="1"/>
      <name val="Aptos Narrow"/>
      <family val="2"/>
      <charset val="161"/>
      <scheme val="minor"/>
    </font>
    <font>
      <sz val="22"/>
      <name val="Calibri"/>
      <family val="2"/>
      <charset val="161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medium">
        <color indexed="64"/>
      </bottom>
      <diagonal/>
    </border>
    <border>
      <left/>
      <right/>
      <top style="thin">
        <color theme="1" tint="0.34998626667073579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21" fillId="4" borderId="0" applyNumberFormat="0" applyBorder="0" applyAlignment="0" applyProtection="0"/>
    <xf numFmtId="0" fontId="26" fillId="3" borderId="0" applyNumberFormat="0" applyBorder="0" applyAlignment="0" applyProtection="0"/>
    <xf numFmtId="0" fontId="27" fillId="2" borderId="0" applyNumberFormat="0" applyBorder="0" applyAlignment="0" applyProtection="0"/>
  </cellStyleXfs>
  <cellXfs count="203">
    <xf numFmtId="0" fontId="0" fillId="0" borderId="0" xfId="0"/>
    <xf numFmtId="0" fontId="2" fillId="0" borderId="0" xfId="0" applyFont="1"/>
    <xf numFmtId="0" fontId="4" fillId="0" borderId="0" xfId="1"/>
    <xf numFmtId="0" fontId="6" fillId="0" borderId="0" xfId="2" applyFont="1" applyAlignment="1">
      <alignment horizontal="center" vertical="center"/>
    </xf>
    <xf numFmtId="0" fontId="4" fillId="5" borderId="0" xfId="1" applyFill="1"/>
    <xf numFmtId="0" fontId="7" fillId="6" borderId="0" xfId="1" applyFont="1" applyFill="1"/>
    <xf numFmtId="0" fontId="8" fillId="0" borderId="0" xfId="1" applyFont="1"/>
    <xf numFmtId="0" fontId="7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10" fillId="0" borderId="0" xfId="1" applyFont="1"/>
    <xf numFmtId="0" fontId="11" fillId="7" borderId="3" xfId="1" applyFont="1" applyFill="1" applyBorder="1" applyAlignment="1" applyProtection="1">
      <alignment horizontal="center" vertical="center"/>
      <protection locked="0"/>
    </xf>
    <xf numFmtId="0" fontId="12" fillId="7" borderId="4" xfId="1" applyFont="1" applyFill="1" applyBorder="1" applyAlignment="1" applyProtection="1">
      <alignment horizontal="center" vertical="center"/>
      <protection locked="0"/>
    </xf>
    <xf numFmtId="0" fontId="11" fillId="7" borderId="4" xfId="1" applyFont="1" applyFill="1" applyBorder="1" applyAlignment="1" applyProtection="1">
      <alignment horizontal="center" vertical="center"/>
      <protection locked="0"/>
    </xf>
    <xf numFmtId="0" fontId="12" fillId="7" borderId="5" xfId="1" applyFont="1" applyFill="1" applyBorder="1" applyAlignment="1" applyProtection="1">
      <alignment horizontal="center" vertical="center"/>
      <protection locked="0"/>
    </xf>
    <xf numFmtId="0" fontId="12" fillId="7" borderId="6" xfId="1" applyFont="1" applyFill="1" applyBorder="1" applyAlignment="1" applyProtection="1">
      <alignment horizontal="center" vertical="center"/>
      <protection locked="0"/>
    </xf>
    <xf numFmtId="0" fontId="11" fillId="8" borderId="7" xfId="1" applyFont="1" applyFill="1" applyBorder="1" applyAlignment="1" applyProtection="1">
      <alignment horizontal="center" vertical="center"/>
      <protection locked="0"/>
    </xf>
    <xf numFmtId="0" fontId="12" fillId="7" borderId="7" xfId="1" applyFont="1" applyFill="1" applyBorder="1" applyAlignment="1" applyProtection="1">
      <alignment horizontal="center" vertical="center"/>
      <protection locked="0"/>
    </xf>
    <xf numFmtId="0" fontId="13" fillId="9" borderId="7" xfId="1" applyFont="1" applyFill="1" applyBorder="1" applyAlignment="1" applyProtection="1">
      <alignment horizontal="center" vertical="center"/>
      <protection locked="0"/>
    </xf>
    <xf numFmtId="0" fontId="14" fillId="7" borderId="8" xfId="1" applyFont="1" applyFill="1" applyBorder="1" applyAlignment="1" applyProtection="1">
      <alignment horizontal="center" vertical="center" wrapText="1"/>
      <protection locked="0"/>
    </xf>
    <xf numFmtId="0" fontId="15" fillId="10" borderId="6" xfId="1" applyFont="1" applyFill="1" applyBorder="1" applyAlignment="1">
      <alignment horizontal="center" vertical="center"/>
    </xf>
    <xf numFmtId="0" fontId="16" fillId="11" borderId="7" xfId="1" applyFont="1" applyFill="1" applyBorder="1" applyAlignment="1">
      <alignment horizontal="center" vertical="center"/>
    </xf>
    <xf numFmtId="0" fontId="17" fillId="12" borderId="7" xfId="1" applyFont="1" applyFill="1" applyBorder="1" applyAlignment="1">
      <alignment horizontal="center" vertical="center"/>
    </xf>
    <xf numFmtId="0" fontId="16" fillId="13" borderId="7" xfId="1" applyFont="1" applyFill="1" applyBorder="1" applyAlignment="1">
      <alignment horizontal="center" vertical="center"/>
    </xf>
    <xf numFmtId="0" fontId="16" fillId="10" borderId="7" xfId="1" applyFont="1" applyFill="1" applyBorder="1" applyAlignment="1">
      <alignment horizontal="center" vertical="center"/>
    </xf>
    <xf numFmtId="0" fontId="11" fillId="14" borderId="7" xfId="1" applyFont="1" applyFill="1" applyBorder="1" applyAlignment="1" applyProtection="1">
      <alignment horizontal="center" vertical="center"/>
      <protection locked="0"/>
    </xf>
    <xf numFmtId="0" fontId="11" fillId="7" borderId="7" xfId="1" applyFont="1" applyFill="1" applyBorder="1" applyAlignment="1" applyProtection="1">
      <alignment horizontal="center" vertical="center"/>
      <protection locked="0"/>
    </xf>
    <xf numFmtId="0" fontId="18" fillId="7" borderId="8" xfId="1" applyFont="1" applyFill="1" applyBorder="1" applyAlignment="1" applyProtection="1">
      <alignment horizontal="center" vertical="center"/>
      <protection locked="0"/>
    </xf>
    <xf numFmtId="0" fontId="1" fillId="0" borderId="7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19" fillId="7" borderId="7" xfId="1" applyFont="1" applyFill="1" applyBorder="1" applyAlignment="1" applyProtection="1">
      <alignment horizontal="center" vertical="center"/>
      <protection locked="0"/>
    </xf>
    <xf numFmtId="0" fontId="16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12" fillId="15" borderId="6" xfId="1" applyFont="1" applyFill="1" applyBorder="1" applyAlignment="1" applyProtection="1">
      <alignment horizontal="center" vertical="center"/>
      <protection locked="0"/>
    </xf>
    <xf numFmtId="0" fontId="11" fillId="15" borderId="7" xfId="1" applyFont="1" applyFill="1" applyBorder="1" applyAlignment="1" applyProtection="1">
      <alignment horizontal="center" vertical="center"/>
      <protection locked="0"/>
    </xf>
    <xf numFmtId="0" fontId="12" fillId="15" borderId="7" xfId="1" applyFont="1" applyFill="1" applyBorder="1" applyAlignment="1" applyProtection="1">
      <alignment horizontal="center" vertical="center"/>
      <protection locked="0"/>
    </xf>
    <xf numFmtId="0" fontId="14" fillId="15" borderId="8" xfId="1" applyFont="1" applyFill="1" applyBorder="1" applyAlignment="1" applyProtection="1">
      <alignment horizontal="center" vertical="center" wrapText="1"/>
      <protection locked="0"/>
    </xf>
    <xf numFmtId="0" fontId="12" fillId="15" borderId="9" xfId="1" applyFont="1" applyFill="1" applyBorder="1" applyAlignment="1" applyProtection="1">
      <alignment horizontal="center" vertical="center"/>
      <protection locked="0"/>
    </xf>
    <xf numFmtId="0" fontId="11" fillId="15" borderId="10" xfId="1" applyFont="1" applyFill="1" applyBorder="1" applyAlignment="1" applyProtection="1">
      <alignment horizontal="center" vertical="center"/>
      <protection locked="0"/>
    </xf>
    <xf numFmtId="0" fontId="12" fillId="15" borderId="10" xfId="1" applyFont="1" applyFill="1" applyBorder="1" applyAlignment="1" applyProtection="1">
      <alignment horizontal="center" vertical="center"/>
      <protection locked="0"/>
    </xf>
    <xf numFmtId="0" fontId="14" fillId="15" borderId="11" xfId="1" applyFont="1" applyFill="1" applyBorder="1" applyAlignment="1" applyProtection="1">
      <alignment horizontal="center" vertical="center" wrapText="1"/>
      <protection locked="0"/>
    </xf>
    <xf numFmtId="0" fontId="1" fillId="14" borderId="7" xfId="1" applyFont="1" applyFill="1" applyBorder="1" applyAlignment="1">
      <alignment vertical="center"/>
    </xf>
    <xf numFmtId="0" fontId="21" fillId="4" borderId="0" xfId="3"/>
    <xf numFmtId="0" fontId="12" fillId="7" borderId="9" xfId="1" applyFont="1" applyFill="1" applyBorder="1" applyAlignment="1" applyProtection="1">
      <alignment horizontal="center" vertical="center"/>
      <protection locked="0"/>
    </xf>
    <xf numFmtId="0" fontId="1" fillId="14" borderId="10" xfId="1" applyFont="1" applyFill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22" fillId="7" borderId="6" xfId="1" applyFont="1" applyFill="1" applyBorder="1" applyAlignment="1" applyProtection="1">
      <alignment horizontal="center" vertical="center"/>
      <protection locked="0"/>
    </xf>
    <xf numFmtId="0" fontId="5" fillId="7" borderId="8" xfId="1" applyFont="1" applyFill="1" applyBorder="1" applyAlignment="1" applyProtection="1">
      <alignment horizontal="center" vertical="center"/>
      <protection locked="0"/>
    </xf>
    <xf numFmtId="0" fontId="14" fillId="7" borderId="8" xfId="1" applyFont="1" applyFill="1" applyBorder="1" applyAlignment="1" applyProtection="1">
      <alignment vertical="center" wrapText="1"/>
      <protection locked="0"/>
    </xf>
    <xf numFmtId="0" fontId="23" fillId="7" borderId="10" xfId="1" applyFont="1" applyFill="1" applyBorder="1" applyAlignment="1" applyProtection="1">
      <alignment horizontal="center" vertical="center"/>
      <protection locked="0"/>
    </xf>
    <xf numFmtId="0" fontId="24" fillId="7" borderId="10" xfId="1" applyFont="1" applyFill="1" applyBorder="1" applyAlignment="1" applyProtection="1">
      <alignment horizontal="center" vertical="center"/>
      <protection locked="0"/>
    </xf>
    <xf numFmtId="0" fontId="14" fillId="7" borderId="11" xfId="1" applyFont="1" applyFill="1" applyBorder="1" applyAlignment="1" applyProtection="1">
      <alignment vertical="center" wrapText="1"/>
      <protection locked="0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4" fillId="0" borderId="3" xfId="1" applyBorder="1"/>
    <xf numFmtId="0" fontId="4" fillId="0" borderId="4" xfId="1" applyBorder="1"/>
    <xf numFmtId="0" fontId="4" fillId="0" borderId="5" xfId="1" applyBorder="1"/>
    <xf numFmtId="0" fontId="11" fillId="0" borderId="7" xfId="1" applyFont="1" applyBorder="1" applyAlignment="1" applyProtection="1">
      <alignment horizontal="center" vertical="center"/>
      <protection locked="0"/>
    </xf>
    <xf numFmtId="0" fontId="12" fillId="0" borderId="7" xfId="1" applyFont="1" applyBorder="1" applyAlignment="1" applyProtection="1">
      <alignment horizontal="center" vertical="center"/>
      <protection locked="0"/>
    </xf>
    <xf numFmtId="0" fontId="13" fillId="0" borderId="7" xfId="1" applyFont="1" applyBorder="1" applyAlignment="1" applyProtection="1">
      <alignment horizontal="center" vertical="center"/>
      <protection locked="0"/>
    </xf>
    <xf numFmtId="0" fontId="4" fillId="0" borderId="9" xfId="1" applyBorder="1"/>
    <xf numFmtId="0" fontId="4" fillId="0" borderId="10" xfId="1" applyBorder="1"/>
    <xf numFmtId="0" fontId="4" fillId="0" borderId="11" xfId="1" applyBorder="1"/>
    <xf numFmtId="0" fontId="22" fillId="15" borderId="6" xfId="1" applyFont="1" applyFill="1" applyBorder="1" applyAlignment="1" applyProtection="1">
      <alignment horizontal="center" vertical="center"/>
      <protection locked="0"/>
    </xf>
    <xf numFmtId="0" fontId="5" fillId="15" borderId="7" xfId="1" applyFont="1" applyFill="1" applyBorder="1" applyAlignment="1" applyProtection="1">
      <alignment horizontal="center" vertical="center"/>
      <protection locked="0"/>
    </xf>
    <xf numFmtId="0" fontId="22" fillId="15" borderId="7" xfId="1" applyFont="1" applyFill="1" applyBorder="1" applyAlignment="1" applyProtection="1">
      <alignment horizontal="center" vertical="center"/>
      <protection locked="0"/>
    </xf>
    <xf numFmtId="0" fontId="20" fillId="0" borderId="7" xfId="1" applyFont="1" applyBorder="1" applyAlignment="1">
      <alignment vertical="center"/>
    </xf>
    <xf numFmtId="0" fontId="22" fillId="15" borderId="9" xfId="1" applyFont="1" applyFill="1" applyBorder="1" applyAlignment="1" applyProtection="1">
      <alignment horizontal="center" vertical="center"/>
      <protection locked="0"/>
    </xf>
    <xf numFmtId="0" fontId="5" fillId="15" borderId="10" xfId="1" applyFont="1" applyFill="1" applyBorder="1" applyAlignment="1" applyProtection="1">
      <alignment horizontal="center" vertical="center"/>
      <protection locked="0"/>
    </xf>
    <xf numFmtId="0" fontId="22" fillId="15" borderId="10" xfId="1" applyFont="1" applyFill="1" applyBorder="1" applyAlignment="1" applyProtection="1">
      <alignment horizontal="center" vertical="center"/>
      <protection locked="0"/>
    </xf>
    <xf numFmtId="0" fontId="25" fillId="15" borderId="11" xfId="1" applyFont="1" applyFill="1" applyBorder="1" applyAlignment="1" applyProtection="1">
      <alignment horizontal="center" vertical="center" wrapText="1"/>
      <protection locked="0"/>
    </xf>
    <xf numFmtId="0" fontId="4" fillId="6" borderId="0" xfId="1" applyFill="1"/>
    <xf numFmtId="0" fontId="4" fillId="16" borderId="0" xfId="1" applyFill="1"/>
    <xf numFmtId="0" fontId="10" fillId="16" borderId="0" xfId="1" applyFont="1" applyFill="1"/>
    <xf numFmtId="0" fontId="1" fillId="0" borderId="7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9" fillId="7" borderId="7" xfId="1" applyFont="1" applyFill="1" applyBorder="1" applyAlignment="1" applyProtection="1">
      <alignment horizontal="center" vertical="center" wrapText="1"/>
      <protection locked="0"/>
    </xf>
    <xf numFmtId="0" fontId="12" fillId="7" borderId="7" xfId="1" applyFont="1" applyFill="1" applyBorder="1" applyAlignment="1" applyProtection="1">
      <alignment horizontal="center" vertical="center" wrapText="1"/>
      <protection locked="0"/>
    </xf>
    <xf numFmtId="0" fontId="26" fillId="3" borderId="0" xfId="4"/>
    <xf numFmtId="0" fontId="20" fillId="0" borderId="7" xfId="1" applyFont="1" applyBorder="1" applyAlignment="1">
      <alignment vertical="center" wrapText="1"/>
    </xf>
    <xf numFmtId="0" fontId="27" fillId="2" borderId="0" xfId="5"/>
    <xf numFmtId="0" fontId="0" fillId="17" borderId="0" xfId="0" applyFill="1"/>
    <xf numFmtId="0" fontId="5" fillId="7" borderId="7" xfId="1" applyFont="1" applyFill="1" applyBorder="1" applyAlignment="1" applyProtection="1">
      <alignment horizontal="center" vertical="center"/>
      <protection locked="0"/>
    </xf>
    <xf numFmtId="0" fontId="22" fillId="7" borderId="7" xfId="1" applyFont="1" applyFill="1" applyBorder="1" applyAlignment="1" applyProtection="1">
      <alignment horizontal="center" vertical="center"/>
      <protection locked="0"/>
    </xf>
    <xf numFmtId="0" fontId="0" fillId="18" borderId="0" xfId="0" applyFill="1"/>
    <xf numFmtId="0" fontId="28" fillId="0" borderId="1" xfId="2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/>
    </xf>
    <xf numFmtId="0" fontId="23" fillId="7" borderId="3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12" fillId="7" borderId="5" xfId="0" applyFont="1" applyFill="1" applyBorder="1" applyAlignment="1" applyProtection="1">
      <alignment horizontal="center" vertical="center"/>
      <protection locked="0"/>
    </xf>
    <xf numFmtId="0" fontId="12" fillId="7" borderId="6" xfId="0" applyFont="1" applyFill="1" applyBorder="1" applyAlignment="1" applyProtection="1">
      <alignment horizontal="center" vertical="center"/>
      <protection locked="0"/>
    </xf>
    <xf numFmtId="0" fontId="11" fillId="7" borderId="7" xfId="0" applyFont="1" applyFill="1" applyBorder="1" applyAlignment="1" applyProtection="1">
      <alignment horizontal="center" vertical="center"/>
      <protection locked="0"/>
    </xf>
    <xf numFmtId="0" fontId="14" fillId="7" borderId="8" xfId="0" applyFont="1" applyFill="1" applyBorder="1" applyAlignment="1" applyProtection="1">
      <alignment vertical="center" wrapText="1"/>
      <protection locked="0"/>
    </xf>
    <xf numFmtId="0" fontId="13" fillId="7" borderId="7" xfId="0" applyFont="1" applyFill="1" applyBorder="1" applyAlignment="1" applyProtection="1">
      <alignment horizontal="center" vertical="center"/>
      <protection locked="0"/>
    </xf>
    <xf numFmtId="0" fontId="12" fillId="7" borderId="9" xfId="0" applyFont="1" applyFill="1" applyBorder="1" applyAlignment="1" applyProtection="1">
      <alignment horizontal="center" vertical="center"/>
      <protection locked="0"/>
    </xf>
    <xf numFmtId="0" fontId="11" fillId="7" borderId="10" xfId="0" applyFont="1" applyFill="1" applyBorder="1" applyAlignment="1" applyProtection="1">
      <alignment horizontal="center" vertical="center"/>
      <protection locked="0"/>
    </xf>
    <xf numFmtId="0" fontId="14" fillId="7" borderId="11" xfId="0" applyFont="1" applyFill="1" applyBorder="1" applyAlignment="1" applyProtection="1">
      <alignment vertical="center" wrapText="1"/>
      <protection locked="0"/>
    </xf>
    <xf numFmtId="0" fontId="29" fillId="19" borderId="0" xfId="0" applyFont="1" applyFill="1" applyAlignment="1">
      <alignment horizontal="center" vertical="center"/>
    </xf>
    <xf numFmtId="0" fontId="4" fillId="0" borderId="0" xfId="0" applyFont="1"/>
    <xf numFmtId="0" fontId="30" fillId="0" borderId="0" xfId="0" applyFont="1"/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20" borderId="14" xfId="0" applyFont="1" applyFill="1" applyBorder="1" applyAlignment="1">
      <alignment horizontal="center" vertical="center"/>
    </xf>
    <xf numFmtId="0" fontId="32" fillId="20" borderId="16" xfId="0" applyFont="1" applyFill="1" applyBorder="1" applyAlignment="1">
      <alignment horizontal="center" vertical="center"/>
    </xf>
    <xf numFmtId="0" fontId="32" fillId="20" borderId="15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0" fontId="7" fillId="18" borderId="0" xfId="0" applyFont="1" applyFill="1" applyAlignment="1">
      <alignment horizontal="center"/>
    </xf>
    <xf numFmtId="0" fontId="7" fillId="18" borderId="19" xfId="0" applyFont="1" applyFill="1" applyBorder="1" applyAlignment="1">
      <alignment horizontal="center"/>
    </xf>
    <xf numFmtId="0" fontId="3" fillId="7" borderId="20" xfId="0" applyFont="1" applyFill="1" applyBorder="1" applyAlignment="1" applyProtection="1">
      <alignment horizontal="center" vertical="center"/>
      <protection locked="0"/>
    </xf>
    <xf numFmtId="0" fontId="3" fillId="7" borderId="21" xfId="0" applyFont="1" applyFill="1" applyBorder="1" applyAlignment="1" applyProtection="1">
      <alignment horizontal="center" vertical="center"/>
      <protection locked="0"/>
    </xf>
    <xf numFmtId="1" fontId="1" fillId="7" borderId="21" xfId="0" applyNumberFormat="1" applyFont="1" applyFill="1" applyBorder="1" applyAlignment="1" applyProtection="1">
      <alignment horizontal="center" vertical="center"/>
      <protection locked="0"/>
    </xf>
    <xf numFmtId="0" fontId="3" fillId="15" borderId="22" xfId="0" applyFont="1" applyFill="1" applyBorder="1" applyAlignment="1" applyProtection="1">
      <alignment horizontal="center" vertical="center"/>
      <protection locked="0"/>
    </xf>
    <xf numFmtId="1" fontId="1" fillId="7" borderId="23" xfId="0" applyNumberFormat="1" applyFont="1" applyFill="1" applyBorder="1" applyAlignment="1" applyProtection="1">
      <alignment horizontal="center" vertical="center"/>
      <protection locked="0"/>
    </xf>
    <xf numFmtId="1" fontId="1" fillId="7" borderId="24" xfId="0" applyNumberFormat="1" applyFont="1" applyFill="1" applyBorder="1" applyAlignment="1" applyProtection="1">
      <alignment horizontal="center" vertical="center"/>
      <protection locked="0"/>
    </xf>
    <xf numFmtId="1" fontId="1" fillId="7" borderId="25" xfId="0" applyNumberFormat="1" applyFont="1" applyFill="1" applyBorder="1" applyAlignment="1" applyProtection="1">
      <alignment horizontal="center" vertical="center"/>
      <protection locked="0"/>
    </xf>
    <xf numFmtId="1" fontId="1" fillId="7" borderId="26" xfId="0" applyNumberFormat="1" applyFont="1" applyFill="1" applyBorder="1" applyAlignment="1" applyProtection="1">
      <alignment horizontal="center" vertical="center"/>
      <protection locked="0"/>
    </xf>
    <xf numFmtId="0" fontId="7" fillId="18" borderId="27" xfId="0" applyFont="1" applyFill="1" applyBorder="1" applyAlignment="1">
      <alignment horizontal="center"/>
    </xf>
    <xf numFmtId="0" fontId="7" fillId="18" borderId="0" xfId="0" applyFont="1" applyFill="1" applyAlignment="1">
      <alignment horizontal="center" wrapText="1"/>
    </xf>
    <xf numFmtId="0" fontId="4" fillId="16" borderId="0" xfId="0" applyFont="1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7" xfId="0" applyBorder="1"/>
    <xf numFmtId="0" fontId="0" fillId="0" borderId="19" xfId="0" applyBorder="1"/>
    <xf numFmtId="0" fontId="32" fillId="20" borderId="27" xfId="0" applyFont="1" applyFill="1" applyBorder="1" applyAlignment="1">
      <alignment horizontal="center" vertical="center"/>
    </xf>
    <xf numFmtId="0" fontId="32" fillId="20" borderId="0" xfId="0" applyFont="1" applyFill="1" applyAlignment="1">
      <alignment horizontal="center" vertical="center"/>
    </xf>
    <xf numFmtId="0" fontId="32" fillId="20" borderId="19" xfId="0" applyFont="1" applyFill="1" applyBorder="1" applyAlignment="1">
      <alignment horizontal="center" vertical="center"/>
    </xf>
    <xf numFmtId="0" fontId="0" fillId="7" borderId="27" xfId="0" applyFill="1" applyBorder="1"/>
    <xf numFmtId="0" fontId="0" fillId="7" borderId="0" xfId="0" applyFill="1"/>
    <xf numFmtId="0" fontId="0" fillId="7" borderId="19" xfId="0" applyFill="1" applyBorder="1"/>
    <xf numFmtId="0" fontId="7" fillId="1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1" fontId="3" fillId="21" borderId="21" xfId="0" applyNumberFormat="1" applyFont="1" applyFill="1" applyBorder="1" applyAlignment="1" applyProtection="1">
      <alignment horizontal="center" vertical="center"/>
      <protection locked="0"/>
    </xf>
    <xf numFmtId="1" fontId="3" fillId="7" borderId="21" xfId="0" applyNumberFormat="1" applyFont="1" applyFill="1" applyBorder="1" applyAlignment="1" applyProtection="1">
      <alignment horizontal="center" vertical="center"/>
      <protection locked="0"/>
    </xf>
    <xf numFmtId="0" fontId="7" fillId="18" borderId="0" xfId="0" applyFont="1" applyFill="1" applyAlignment="1">
      <alignment horizontal="center" vertical="center" wrapText="1"/>
    </xf>
    <xf numFmtId="1" fontId="3" fillId="21" borderId="21" xfId="0" applyNumberFormat="1" applyFont="1" applyFill="1" applyBorder="1" applyAlignment="1" applyProtection="1">
      <alignment horizontal="center" vertical="center" wrapText="1"/>
      <protection locked="0"/>
    </xf>
    <xf numFmtId="0" fontId="0" fillId="7" borderId="14" xfId="0" applyFill="1" applyBorder="1"/>
    <xf numFmtId="0" fontId="0" fillId="7" borderId="16" xfId="0" applyFill="1" applyBorder="1"/>
    <xf numFmtId="0" fontId="0" fillId="7" borderId="15" xfId="0" applyFill="1" applyBorder="1"/>
    <xf numFmtId="0" fontId="33" fillId="0" borderId="6" xfId="0" applyFont="1" applyBorder="1" applyAlignment="1">
      <alignment horizontal="center" vertical="center" wrapText="1"/>
    </xf>
    <xf numFmtId="0" fontId="7" fillId="0" borderId="27" xfId="0" applyFont="1" applyBorder="1"/>
    <xf numFmtId="0" fontId="7" fillId="0" borderId="0" xfId="0" applyFont="1"/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4" fillId="15" borderId="7" xfId="3" applyFont="1" applyFill="1" applyBorder="1" applyAlignment="1">
      <alignment horizontal="center" vertical="center" wrapText="1"/>
    </xf>
    <xf numFmtId="0" fontId="34" fillId="15" borderId="8" xfId="3" applyFont="1" applyFill="1" applyBorder="1" applyAlignment="1">
      <alignment horizontal="center" vertical="center" wrapText="1"/>
    </xf>
    <xf numFmtId="0" fontId="4" fillId="16" borderId="0" xfId="0" applyFont="1" applyFill="1" applyAlignment="1">
      <alignment horizontal="center" vertical="center"/>
    </xf>
    <xf numFmtId="0" fontId="0" fillId="7" borderId="28" xfId="0" applyFill="1" applyBorder="1"/>
    <xf numFmtId="0" fontId="0" fillId="7" borderId="29" xfId="0" applyFill="1" applyBorder="1"/>
    <xf numFmtId="0" fontId="0" fillId="7" borderId="30" xfId="0" applyFill="1" applyBorder="1"/>
    <xf numFmtId="0" fontId="32" fillId="7" borderId="27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32" fillId="7" borderId="19" xfId="0" applyFont="1" applyFill="1" applyBorder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4" fillId="7" borderId="0" xfId="0" applyFont="1" applyFill="1"/>
    <xf numFmtId="0" fontId="32" fillId="7" borderId="28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/>
    </xf>
    <xf numFmtId="0" fontId="32" fillId="20" borderId="1" xfId="0" applyFont="1" applyFill="1" applyBorder="1" applyAlignment="1">
      <alignment horizontal="center" vertical="center"/>
    </xf>
    <xf numFmtId="0" fontId="32" fillId="20" borderId="31" xfId="0" applyFont="1" applyFill="1" applyBorder="1" applyAlignment="1">
      <alignment horizontal="center" vertical="center"/>
    </xf>
    <xf numFmtId="0" fontId="32" fillId="20" borderId="2" xfId="0" applyFont="1" applyFill="1" applyBorder="1" applyAlignment="1">
      <alignment horizontal="center" vertical="center"/>
    </xf>
    <xf numFmtId="0" fontId="0" fillId="7" borderId="2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6" borderId="14" xfId="0" applyFill="1" applyBorder="1"/>
    <xf numFmtId="0" fontId="7" fillId="7" borderId="32" xfId="0" applyFont="1" applyFill="1" applyBorder="1" applyAlignment="1">
      <alignment horizontal="left" vertical="center" wrapText="1"/>
    </xf>
    <xf numFmtId="1" fontId="35" fillId="7" borderId="33" xfId="0" applyNumberFormat="1" applyFont="1" applyFill="1" applyBorder="1" applyAlignment="1" applyProtection="1">
      <alignment horizontal="center" vertical="center"/>
      <protection locked="0"/>
    </xf>
    <xf numFmtId="0" fontId="0" fillId="16" borderId="15" xfId="0" applyFill="1" applyBorder="1"/>
    <xf numFmtId="0" fontId="0" fillId="16" borderId="27" xfId="0" applyFill="1" applyBorder="1"/>
    <xf numFmtId="0" fontId="0" fillId="16" borderId="0" xfId="0" applyFill="1"/>
    <xf numFmtId="0" fontId="0" fillId="16" borderId="19" xfId="0" applyFill="1" applyBorder="1"/>
    <xf numFmtId="0" fontId="7" fillId="7" borderId="3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4" fillId="7" borderId="6" xfId="0" applyFont="1" applyFill="1" applyBorder="1"/>
    <xf numFmtId="0" fontId="4" fillId="7" borderId="9" xfId="0" applyFont="1" applyFill="1" applyBorder="1" applyAlignment="1">
      <alignment horizontal="left" vertical="center"/>
    </xf>
    <xf numFmtId="1" fontId="1" fillId="7" borderId="34" xfId="0" applyNumberFormat="1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9" xfId="0" applyFont="1" applyFill="1" applyBorder="1"/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36" fillId="0" borderId="27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16" borderId="28" xfId="0" applyFill="1" applyBorder="1"/>
    <xf numFmtId="0" fontId="0" fillId="16" borderId="29" xfId="0" applyFill="1" applyBorder="1"/>
    <xf numFmtId="0" fontId="0" fillId="16" borderId="30" xfId="0" applyFill="1" applyBorder="1"/>
    <xf numFmtId="0" fontId="36" fillId="0" borderId="28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</cellXfs>
  <cellStyles count="6">
    <cellStyle name="Normal 2" xfId="1" xr:uid="{8DA51474-6C55-4E33-861C-FBAF48DCD354}"/>
    <cellStyle name="Κακό 2" xfId="4" xr:uid="{D823B053-9273-4E95-AEEB-FADE20D49C8B}"/>
    <cellStyle name="Καλό 2" xfId="5" xr:uid="{33C3E3BC-C5B9-4054-AB55-C8657E5447E4}"/>
    <cellStyle name="Κανονικό" xfId="0" builtinId="0"/>
    <cellStyle name="Κανονικό 3" xfId="2" xr:uid="{F3F82003-6C7F-45D2-8B1F-94484A13A966}"/>
    <cellStyle name="Ουδέτερο 2" xfId="3" xr:uid="{A197AB73-0F88-4DB0-8BE7-9C6079D383CF}"/>
  </cellStyles>
  <dxfs count="34"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79998168889431442"/>
        </patternFill>
      </fill>
    </dxf>
    <dxf>
      <fill>
        <patternFill patternType="lightUp"/>
      </fill>
    </dxf>
    <dxf>
      <fill>
        <patternFill patternType="lightUp"/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603250</xdr:colOff>
      <xdr:row>50</xdr:row>
      <xdr:rowOff>412750</xdr:rowOff>
    </xdr:from>
    <xdr:to>
      <xdr:col>8</xdr:col>
      <xdr:colOff>1447800</xdr:colOff>
      <xdr:row>66</xdr:row>
      <xdr:rowOff>283845</xdr:rowOff>
    </xdr:to>
    <xdr:pic>
      <xdr:nvPicPr>
        <xdr:cNvPr id="2" name="Εικόνα 1">
          <a:extLst>
            <a:ext uri="{FF2B5EF4-FFF2-40B4-BE49-F238E27FC236}">
              <a16:creationId xmlns:a16="http://schemas.microsoft.com/office/drawing/2014/main" id="{992965B6-4307-85CF-68BB-292DE0B84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19081750"/>
          <a:ext cx="5495925" cy="724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1143000</xdr:colOff>
      <xdr:row>50</xdr:row>
      <xdr:rowOff>412750</xdr:rowOff>
    </xdr:from>
    <xdr:to>
      <xdr:col>24</xdr:col>
      <xdr:colOff>1697990</xdr:colOff>
      <xdr:row>66</xdr:row>
      <xdr:rowOff>287655</xdr:rowOff>
    </xdr:to>
    <xdr:pic>
      <xdr:nvPicPr>
        <xdr:cNvPr id="3" name="Εικόνα 2">
          <a:extLst>
            <a:ext uri="{FF2B5EF4-FFF2-40B4-BE49-F238E27FC236}">
              <a16:creationId xmlns:a16="http://schemas.microsoft.com/office/drawing/2014/main" id="{F63591A2-6CE3-986D-1519-2E2AFCCA5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16250" y="19081750"/>
          <a:ext cx="5495925" cy="724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>
      <selection activeCell="A2" sqref="A2:R2"/>
    </sheetView>
  </sheetViews>
  <sheetFormatPr defaultRowHeight="14.4" x14ac:dyDescent="0.3"/>
  <cols>
    <col min="1" max="1" width="16.33203125" customWidth="1"/>
    <col min="2" max="2" width="12.44140625" customWidth="1"/>
    <col min="3" max="3" width="10.88671875" customWidth="1"/>
    <col min="4" max="4" width="9" customWidth="1"/>
    <col min="5" max="5" width="17.21875" customWidth="1"/>
    <col min="6" max="6" width="13.21875" customWidth="1"/>
    <col min="7" max="7" width="22.77734375" customWidth="1"/>
    <col min="8" max="8" width="10" customWidth="1"/>
    <col min="9" max="9" width="23.77734375" customWidth="1"/>
    <col min="10" max="10" width="19.77734375" customWidth="1"/>
    <col min="11" max="11" width="18" customWidth="1"/>
    <col min="12" max="12" width="46.6640625" customWidth="1"/>
    <col min="13" max="13" width="13.5546875" customWidth="1"/>
    <col min="14" max="14" width="18" customWidth="1"/>
    <col min="15" max="15" width="18.88671875" customWidth="1"/>
    <col min="16" max="16" width="13.6640625" customWidth="1"/>
    <col min="17" max="17" width="9.21875" customWidth="1"/>
    <col min="18" max="18" width="9.6640625" customWidth="1"/>
    <col min="19" max="19" width="24.77734375" customWidth="1"/>
    <col min="20" max="20" width="10.109375" customWidth="1"/>
    <col min="21" max="21" width="11.88671875" customWidth="1"/>
    <col min="22" max="22" width="7.33203125" customWidth="1"/>
    <col min="23" max="23" width="10.44140625" customWidth="1"/>
    <col min="24" max="24" width="8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5</v>
      </c>
      <c r="E2" t="s">
        <v>27</v>
      </c>
      <c r="F2" t="s">
        <v>28</v>
      </c>
      <c r="G2" t="b">
        <v>1</v>
      </c>
      <c r="H2" t="b">
        <v>0</v>
      </c>
      <c r="I2" t="s">
        <v>29</v>
      </c>
      <c r="J2" t="s">
        <v>30</v>
      </c>
      <c r="K2" t="s">
        <v>31</v>
      </c>
      <c r="L2" t="b">
        <v>0</v>
      </c>
      <c r="M2" t="b">
        <v>0</v>
      </c>
      <c r="N2" t="b">
        <v>0</v>
      </c>
      <c r="R2" t="s">
        <v>32</v>
      </c>
      <c r="S2" t="s">
        <v>33</v>
      </c>
      <c r="T2" t="s">
        <v>34</v>
      </c>
      <c r="U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selection activeCell="A2" sqref="A2:M6"/>
    </sheetView>
  </sheetViews>
  <sheetFormatPr defaultRowHeight="14.4" x14ac:dyDescent="0.3"/>
  <cols>
    <col min="1" max="1" width="9.44140625" customWidth="1"/>
    <col min="2" max="2" width="15.33203125" customWidth="1"/>
    <col min="3" max="3" width="14.88671875" customWidth="1"/>
    <col min="4" max="4" width="5.77734375" customWidth="1"/>
    <col min="5" max="5" width="12.44140625" customWidth="1"/>
    <col min="6" max="6" width="5.77734375" customWidth="1"/>
    <col min="7" max="7" width="12.44140625" customWidth="1"/>
    <col min="8" max="8" width="5.77734375" customWidth="1"/>
    <col min="9" max="9" width="10.5546875" customWidth="1"/>
    <col min="10" max="10" width="5.77734375" customWidth="1"/>
    <col min="11" max="11" width="10.5546875" customWidth="1"/>
    <col min="12" max="12" width="11.33203125" customWidth="1"/>
    <col min="13" max="13" width="25.6640625" customWidth="1"/>
    <col min="14" max="14" width="6.6640625" customWidth="1"/>
  </cols>
  <sheetData>
    <row r="1" spans="1:14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3">
      <c r="A2" t="s">
        <v>50</v>
      </c>
      <c r="B2">
        <v>0</v>
      </c>
      <c r="C2">
        <v>0</v>
      </c>
    </row>
    <row r="3" spans="1:14" x14ac:dyDescent="0.3">
      <c r="A3" t="s">
        <v>28</v>
      </c>
      <c r="B3">
        <v>0</v>
      </c>
      <c r="C3">
        <v>8</v>
      </c>
      <c r="D3">
        <v>6</v>
      </c>
      <c r="E3" t="s">
        <v>51</v>
      </c>
      <c r="F3">
        <v>2</v>
      </c>
      <c r="G3" t="s">
        <v>51</v>
      </c>
    </row>
    <row r="4" spans="1:14" x14ac:dyDescent="0.3">
      <c r="A4" t="s">
        <v>52</v>
      </c>
      <c r="B4">
        <v>6</v>
      </c>
      <c r="C4">
        <v>0</v>
      </c>
      <c r="D4">
        <v>6</v>
      </c>
      <c r="E4" t="s">
        <v>51</v>
      </c>
    </row>
    <row r="5" spans="1:14" x14ac:dyDescent="0.3">
      <c r="A5" t="s">
        <v>53</v>
      </c>
      <c r="B5">
        <v>6</v>
      </c>
      <c r="C5">
        <v>0</v>
      </c>
      <c r="D5">
        <v>6</v>
      </c>
      <c r="E5" t="s">
        <v>51</v>
      </c>
    </row>
    <row r="6" spans="1:14" x14ac:dyDescent="0.3">
      <c r="A6" t="s">
        <v>27</v>
      </c>
      <c r="B6">
        <v>6</v>
      </c>
      <c r="C6">
        <v>0</v>
      </c>
      <c r="D6">
        <v>6</v>
      </c>
      <c r="E6" t="s">
        <v>51</v>
      </c>
      <c r="L6" t="s">
        <v>54</v>
      </c>
      <c r="M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9"/>
  <sheetViews>
    <sheetView workbookViewId="0">
      <selection activeCell="A2" sqref="A2:E5"/>
    </sheetView>
  </sheetViews>
  <sheetFormatPr defaultRowHeight="14.4" x14ac:dyDescent="0.3"/>
  <cols>
    <col min="1" max="1" width="18.88671875" customWidth="1"/>
    <col min="2" max="2" width="50.88671875" customWidth="1"/>
    <col min="3" max="3" width="6.21875" customWidth="1"/>
  </cols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 t="s">
        <v>59</v>
      </c>
      <c r="B2" t="s">
        <v>60</v>
      </c>
    </row>
    <row r="3" spans="1:3" x14ac:dyDescent="0.3">
      <c r="A3" t="s">
        <v>59</v>
      </c>
      <c r="B3" t="s">
        <v>61</v>
      </c>
    </row>
    <row r="4" spans="1:3" x14ac:dyDescent="0.3">
      <c r="A4" t="s">
        <v>59</v>
      </c>
      <c r="B4" t="s">
        <v>62</v>
      </c>
    </row>
    <row r="5" spans="1:3" x14ac:dyDescent="0.3">
      <c r="A5" t="s">
        <v>59</v>
      </c>
      <c r="B5" t="s">
        <v>63</v>
      </c>
    </row>
    <row r="6" spans="1:3" x14ac:dyDescent="0.3">
      <c r="A6" t="s">
        <v>64</v>
      </c>
      <c r="B6" t="s">
        <v>65</v>
      </c>
    </row>
    <row r="7" spans="1:3" x14ac:dyDescent="0.3">
      <c r="A7" t="s">
        <v>64</v>
      </c>
      <c r="B7" t="s">
        <v>66</v>
      </c>
    </row>
    <row r="8" spans="1:3" x14ac:dyDescent="0.3">
      <c r="A8" t="s">
        <v>64</v>
      </c>
      <c r="B8" t="s">
        <v>67</v>
      </c>
    </row>
    <row r="9" spans="1:3" x14ac:dyDescent="0.3">
      <c r="A9" t="s">
        <v>64</v>
      </c>
      <c r="B9" t="s">
        <v>68</v>
      </c>
    </row>
    <row r="10" spans="1:3" x14ac:dyDescent="0.3">
      <c r="A10" t="s">
        <v>64</v>
      </c>
      <c r="B10" t="s">
        <v>69</v>
      </c>
    </row>
    <row r="11" spans="1:3" x14ac:dyDescent="0.3">
      <c r="A11" t="s">
        <v>64</v>
      </c>
      <c r="B11" t="s">
        <v>70</v>
      </c>
    </row>
    <row r="12" spans="1:3" x14ac:dyDescent="0.3">
      <c r="A12" t="s">
        <v>64</v>
      </c>
      <c r="B12" t="s">
        <v>71</v>
      </c>
    </row>
    <row r="13" spans="1:3" x14ac:dyDescent="0.3">
      <c r="A13" t="s">
        <v>64</v>
      </c>
      <c r="B13" t="s">
        <v>72</v>
      </c>
    </row>
    <row r="14" spans="1:3" x14ac:dyDescent="0.3">
      <c r="A14" t="s">
        <v>64</v>
      </c>
      <c r="B14" t="s">
        <v>73</v>
      </c>
    </row>
    <row r="15" spans="1:3" x14ac:dyDescent="0.3">
      <c r="A15" t="s">
        <v>64</v>
      </c>
      <c r="B15" t="s">
        <v>74</v>
      </c>
    </row>
    <row r="16" spans="1:3" x14ac:dyDescent="0.3">
      <c r="A16" t="s">
        <v>64</v>
      </c>
      <c r="B16" t="s">
        <v>75</v>
      </c>
    </row>
    <row r="17" spans="1:2" x14ac:dyDescent="0.3">
      <c r="A17" t="s">
        <v>64</v>
      </c>
      <c r="B17" t="s">
        <v>76</v>
      </c>
    </row>
    <row r="18" spans="1:2" x14ac:dyDescent="0.3">
      <c r="A18" t="s">
        <v>64</v>
      </c>
      <c r="B18" t="s">
        <v>77</v>
      </c>
    </row>
    <row r="19" spans="1:2" x14ac:dyDescent="0.3">
      <c r="A19" t="s">
        <v>64</v>
      </c>
      <c r="B19" t="s">
        <v>78</v>
      </c>
    </row>
    <row r="20" spans="1:2" x14ac:dyDescent="0.3">
      <c r="A20" t="s">
        <v>64</v>
      </c>
      <c r="B20" t="s">
        <v>79</v>
      </c>
    </row>
    <row r="21" spans="1:2" x14ac:dyDescent="0.3">
      <c r="A21" t="s">
        <v>64</v>
      </c>
      <c r="B21" t="s">
        <v>80</v>
      </c>
    </row>
    <row r="22" spans="1:2" x14ac:dyDescent="0.3">
      <c r="A22" t="s">
        <v>64</v>
      </c>
      <c r="B22" t="s">
        <v>81</v>
      </c>
    </row>
    <row r="23" spans="1:2" x14ac:dyDescent="0.3">
      <c r="A23" t="s">
        <v>64</v>
      </c>
      <c r="B23" t="s">
        <v>82</v>
      </c>
    </row>
    <row r="24" spans="1:2" x14ac:dyDescent="0.3">
      <c r="A24" t="s">
        <v>64</v>
      </c>
      <c r="B24" t="s">
        <v>83</v>
      </c>
    </row>
    <row r="25" spans="1:2" x14ac:dyDescent="0.3">
      <c r="A25" t="s">
        <v>64</v>
      </c>
      <c r="B25" t="s">
        <v>84</v>
      </c>
    </row>
    <row r="26" spans="1:2" x14ac:dyDescent="0.3">
      <c r="A26" t="s">
        <v>64</v>
      </c>
      <c r="B26" t="s">
        <v>85</v>
      </c>
    </row>
    <row r="27" spans="1:2" x14ac:dyDescent="0.3">
      <c r="A27" t="s">
        <v>64</v>
      </c>
      <c r="B27" t="s">
        <v>86</v>
      </c>
    </row>
    <row r="28" spans="1:2" x14ac:dyDescent="0.3">
      <c r="A28" t="s">
        <v>64</v>
      </c>
      <c r="B28" t="s">
        <v>87</v>
      </c>
    </row>
    <row r="29" spans="1:2" x14ac:dyDescent="0.3">
      <c r="A29" t="s">
        <v>64</v>
      </c>
      <c r="B29" t="s">
        <v>88</v>
      </c>
    </row>
    <row r="30" spans="1:2" x14ac:dyDescent="0.3">
      <c r="A30" t="s">
        <v>64</v>
      </c>
      <c r="B30" t="s">
        <v>89</v>
      </c>
    </row>
    <row r="31" spans="1:2" x14ac:dyDescent="0.3">
      <c r="A31" t="s">
        <v>64</v>
      </c>
      <c r="B31" t="s">
        <v>90</v>
      </c>
    </row>
    <row r="32" spans="1:2" x14ac:dyDescent="0.3">
      <c r="A32" t="s">
        <v>91</v>
      </c>
      <c r="B32" t="s">
        <v>92</v>
      </c>
    </row>
    <row r="33" spans="1:2" x14ac:dyDescent="0.3">
      <c r="A33" t="s">
        <v>91</v>
      </c>
      <c r="B33" t="s">
        <v>93</v>
      </c>
    </row>
    <row r="34" spans="1:2" x14ac:dyDescent="0.3">
      <c r="A34" t="s">
        <v>91</v>
      </c>
      <c r="B34" t="s">
        <v>94</v>
      </c>
    </row>
    <row r="35" spans="1:2" x14ac:dyDescent="0.3">
      <c r="A35" t="s">
        <v>91</v>
      </c>
      <c r="B35" t="s">
        <v>95</v>
      </c>
    </row>
    <row r="36" spans="1:2" x14ac:dyDescent="0.3">
      <c r="A36" t="s">
        <v>91</v>
      </c>
      <c r="B36" t="s">
        <v>96</v>
      </c>
    </row>
    <row r="37" spans="1:2" x14ac:dyDescent="0.3">
      <c r="A37" t="s">
        <v>91</v>
      </c>
      <c r="B37" t="s">
        <v>97</v>
      </c>
    </row>
    <row r="38" spans="1:2" x14ac:dyDescent="0.3">
      <c r="A38" t="s">
        <v>98</v>
      </c>
      <c r="B38" t="s">
        <v>99</v>
      </c>
    </row>
    <row r="39" spans="1:2" x14ac:dyDescent="0.3">
      <c r="A39" t="s">
        <v>98</v>
      </c>
      <c r="B39" t="s">
        <v>100</v>
      </c>
    </row>
    <row r="40" spans="1:2" x14ac:dyDescent="0.3">
      <c r="A40" t="s">
        <v>98</v>
      </c>
      <c r="B40" t="s">
        <v>101</v>
      </c>
    </row>
    <row r="41" spans="1:2" x14ac:dyDescent="0.3">
      <c r="A41" t="s">
        <v>98</v>
      </c>
      <c r="B41" t="s">
        <v>102</v>
      </c>
    </row>
    <row r="42" spans="1:2" x14ac:dyDescent="0.3">
      <c r="A42" t="s">
        <v>98</v>
      </c>
      <c r="B42" t="s">
        <v>103</v>
      </c>
    </row>
    <row r="43" spans="1:2" x14ac:dyDescent="0.3">
      <c r="A43" t="s">
        <v>98</v>
      </c>
      <c r="B43" t="s">
        <v>104</v>
      </c>
    </row>
    <row r="44" spans="1:2" x14ac:dyDescent="0.3">
      <c r="A44" t="s">
        <v>98</v>
      </c>
      <c r="B44" t="s">
        <v>105</v>
      </c>
    </row>
    <row r="45" spans="1:2" x14ac:dyDescent="0.3">
      <c r="A45" t="s">
        <v>98</v>
      </c>
      <c r="B45" t="s">
        <v>106</v>
      </c>
    </row>
    <row r="46" spans="1:2" x14ac:dyDescent="0.3">
      <c r="A46" t="s">
        <v>98</v>
      </c>
      <c r="B46" t="s">
        <v>107</v>
      </c>
    </row>
    <row r="47" spans="1:2" x14ac:dyDescent="0.3">
      <c r="A47" t="s">
        <v>98</v>
      </c>
      <c r="B47" t="s">
        <v>108</v>
      </c>
    </row>
    <row r="48" spans="1:2" x14ac:dyDescent="0.3">
      <c r="A48" t="s">
        <v>98</v>
      </c>
      <c r="B48" t="s">
        <v>109</v>
      </c>
    </row>
    <row r="49" spans="1:2" x14ac:dyDescent="0.3">
      <c r="A49" t="s">
        <v>98</v>
      </c>
      <c r="B49" t="s">
        <v>110</v>
      </c>
    </row>
    <row r="50" spans="1:2" x14ac:dyDescent="0.3">
      <c r="A50" t="s">
        <v>98</v>
      </c>
      <c r="B50" t="s">
        <v>111</v>
      </c>
    </row>
    <row r="51" spans="1:2" x14ac:dyDescent="0.3">
      <c r="A51" t="s">
        <v>98</v>
      </c>
      <c r="B51" t="s">
        <v>112</v>
      </c>
    </row>
    <row r="52" spans="1:2" x14ac:dyDescent="0.3">
      <c r="A52" t="s">
        <v>98</v>
      </c>
      <c r="B52" t="s">
        <v>113</v>
      </c>
    </row>
    <row r="53" spans="1:2" x14ac:dyDescent="0.3">
      <c r="A53" t="s">
        <v>98</v>
      </c>
      <c r="B53" t="s">
        <v>114</v>
      </c>
    </row>
    <row r="54" spans="1:2" x14ac:dyDescent="0.3">
      <c r="A54" t="s">
        <v>98</v>
      </c>
      <c r="B54" t="s">
        <v>115</v>
      </c>
    </row>
    <row r="55" spans="1:2" x14ac:dyDescent="0.3">
      <c r="A55" t="s">
        <v>98</v>
      </c>
      <c r="B55" t="s">
        <v>116</v>
      </c>
    </row>
    <row r="56" spans="1:2" x14ac:dyDescent="0.3">
      <c r="A56" t="s">
        <v>98</v>
      </c>
      <c r="B56" t="s">
        <v>117</v>
      </c>
    </row>
    <row r="57" spans="1:2" x14ac:dyDescent="0.3">
      <c r="A57" t="s">
        <v>98</v>
      </c>
      <c r="B57" t="s">
        <v>118</v>
      </c>
    </row>
    <row r="58" spans="1:2" x14ac:dyDescent="0.3">
      <c r="A58" t="s">
        <v>98</v>
      </c>
      <c r="B58" t="s">
        <v>119</v>
      </c>
    </row>
    <row r="59" spans="1:2" x14ac:dyDescent="0.3">
      <c r="A59" t="s">
        <v>98</v>
      </c>
      <c r="B59" t="s">
        <v>120</v>
      </c>
    </row>
    <row r="60" spans="1:2" x14ac:dyDescent="0.3">
      <c r="A60" t="s">
        <v>98</v>
      </c>
      <c r="B60" t="s">
        <v>121</v>
      </c>
    </row>
    <row r="61" spans="1:2" x14ac:dyDescent="0.3">
      <c r="A61" t="s">
        <v>98</v>
      </c>
      <c r="B61" t="s">
        <v>122</v>
      </c>
    </row>
    <row r="62" spans="1:2" x14ac:dyDescent="0.3">
      <c r="A62" t="s">
        <v>98</v>
      </c>
      <c r="B62" t="s">
        <v>123</v>
      </c>
    </row>
    <row r="63" spans="1:2" x14ac:dyDescent="0.3">
      <c r="A63" t="s">
        <v>98</v>
      </c>
      <c r="B63" t="s">
        <v>124</v>
      </c>
    </row>
    <row r="64" spans="1:2" x14ac:dyDescent="0.3">
      <c r="A64" t="s">
        <v>98</v>
      </c>
      <c r="B64" t="s">
        <v>125</v>
      </c>
    </row>
    <row r="65" spans="1:2" x14ac:dyDescent="0.3">
      <c r="A65" t="s">
        <v>98</v>
      </c>
      <c r="B65" t="s">
        <v>126</v>
      </c>
    </row>
    <row r="66" spans="1:2" x14ac:dyDescent="0.3">
      <c r="A66" t="s">
        <v>98</v>
      </c>
      <c r="B66" t="s">
        <v>127</v>
      </c>
    </row>
    <row r="67" spans="1:2" x14ac:dyDescent="0.3">
      <c r="A67" t="s">
        <v>98</v>
      </c>
      <c r="B67" t="s">
        <v>128</v>
      </c>
    </row>
    <row r="68" spans="1:2" x14ac:dyDescent="0.3">
      <c r="A68" t="s">
        <v>98</v>
      </c>
      <c r="B68" t="s">
        <v>129</v>
      </c>
    </row>
    <row r="69" spans="1:2" x14ac:dyDescent="0.3">
      <c r="A69" t="s">
        <v>98</v>
      </c>
      <c r="B69" t="s">
        <v>130</v>
      </c>
    </row>
    <row r="70" spans="1:2" x14ac:dyDescent="0.3">
      <c r="A70" t="s">
        <v>98</v>
      </c>
      <c r="B70" t="s">
        <v>131</v>
      </c>
    </row>
    <row r="71" spans="1:2" x14ac:dyDescent="0.3">
      <c r="A71" t="s">
        <v>98</v>
      </c>
      <c r="B71" t="s">
        <v>132</v>
      </c>
    </row>
    <row r="72" spans="1:2" x14ac:dyDescent="0.3">
      <c r="A72" t="s">
        <v>98</v>
      </c>
      <c r="B72" t="s">
        <v>133</v>
      </c>
    </row>
    <row r="73" spans="1:2" x14ac:dyDescent="0.3">
      <c r="A73" t="s">
        <v>98</v>
      </c>
      <c r="B73" t="s">
        <v>134</v>
      </c>
    </row>
    <row r="74" spans="1:2" x14ac:dyDescent="0.3">
      <c r="A74" t="s">
        <v>98</v>
      </c>
      <c r="B74" t="s">
        <v>135</v>
      </c>
    </row>
    <row r="75" spans="1:2" x14ac:dyDescent="0.3">
      <c r="A75" t="s">
        <v>98</v>
      </c>
      <c r="B75" t="s">
        <v>136</v>
      </c>
    </row>
    <row r="76" spans="1:2" x14ac:dyDescent="0.3">
      <c r="A76" t="s">
        <v>98</v>
      </c>
      <c r="B76" t="s">
        <v>137</v>
      </c>
    </row>
    <row r="77" spans="1:2" x14ac:dyDescent="0.3">
      <c r="A77" t="s">
        <v>98</v>
      </c>
      <c r="B77" t="s">
        <v>138</v>
      </c>
    </row>
    <row r="78" spans="1:2" x14ac:dyDescent="0.3">
      <c r="A78" t="s">
        <v>98</v>
      </c>
      <c r="B78" t="s">
        <v>139</v>
      </c>
    </row>
    <row r="79" spans="1:2" x14ac:dyDescent="0.3">
      <c r="A79" t="s">
        <v>98</v>
      </c>
      <c r="B79" t="s">
        <v>140</v>
      </c>
    </row>
    <row r="80" spans="1:2" x14ac:dyDescent="0.3">
      <c r="A80" t="s">
        <v>98</v>
      </c>
      <c r="B80" t="s">
        <v>141</v>
      </c>
    </row>
    <row r="81" spans="1:2" x14ac:dyDescent="0.3">
      <c r="A81" t="s">
        <v>98</v>
      </c>
      <c r="B81" t="s">
        <v>142</v>
      </c>
    </row>
    <row r="82" spans="1:2" x14ac:dyDescent="0.3">
      <c r="A82" t="s">
        <v>98</v>
      </c>
      <c r="B82" t="s">
        <v>143</v>
      </c>
    </row>
    <row r="83" spans="1:2" x14ac:dyDescent="0.3">
      <c r="A83" t="s">
        <v>98</v>
      </c>
      <c r="B83" t="s">
        <v>144</v>
      </c>
    </row>
    <row r="84" spans="1:2" x14ac:dyDescent="0.3">
      <c r="A84" t="s">
        <v>98</v>
      </c>
      <c r="B84" t="s">
        <v>145</v>
      </c>
    </row>
    <row r="85" spans="1:2" x14ac:dyDescent="0.3">
      <c r="A85" t="s">
        <v>98</v>
      </c>
      <c r="B85" t="s">
        <v>146</v>
      </c>
    </row>
    <row r="86" spans="1:2" x14ac:dyDescent="0.3">
      <c r="A86" t="s">
        <v>98</v>
      </c>
      <c r="B86" t="s">
        <v>147</v>
      </c>
    </row>
    <row r="87" spans="1:2" x14ac:dyDescent="0.3">
      <c r="A87" t="s">
        <v>98</v>
      </c>
      <c r="B87" t="s">
        <v>148</v>
      </c>
    </row>
    <row r="88" spans="1:2" x14ac:dyDescent="0.3">
      <c r="A88" t="s">
        <v>98</v>
      </c>
      <c r="B88" t="s">
        <v>149</v>
      </c>
    </row>
    <row r="89" spans="1:2" x14ac:dyDescent="0.3">
      <c r="A89" t="s">
        <v>98</v>
      </c>
      <c r="B89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tabSelected="1" workbookViewId="0">
      <selection activeCell="U21" sqref="U21"/>
    </sheetView>
  </sheetViews>
  <sheetFormatPr defaultRowHeight="14.4" x14ac:dyDescent="0.3"/>
  <cols>
    <col min="1" max="1" width="15.88671875" customWidth="1"/>
    <col min="2" max="2" width="8.5546875" customWidth="1"/>
    <col min="3" max="3" width="11.33203125" customWidth="1"/>
    <col min="4" max="4" width="9.44140625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B136-E1EC-43C9-946B-4D476836D45F}">
  <dimension ref="A1:AE96"/>
  <sheetViews>
    <sheetView topLeftCell="A24" zoomScale="70" zoomScaleNormal="70" workbookViewId="0">
      <selection activeCell="L47" sqref="L47:L48"/>
    </sheetView>
  </sheetViews>
  <sheetFormatPr defaultColWidth="8.6640625" defaultRowHeight="14.4" x14ac:dyDescent="0.3"/>
  <cols>
    <col min="1" max="1" width="8.6640625" style="2"/>
    <col min="2" max="2" width="24.5546875" style="2" customWidth="1"/>
    <col min="3" max="3" width="8.6640625" style="2"/>
    <col min="4" max="4" width="27" style="2" customWidth="1"/>
    <col min="5" max="5" width="18.33203125" style="2" customWidth="1"/>
    <col min="6" max="8" width="8.6640625" style="2"/>
    <col min="9" max="9" width="20.5546875" style="2" customWidth="1"/>
    <col min="10" max="10" width="21.33203125" style="2" customWidth="1"/>
    <col min="11" max="11" width="21.5546875" style="2" customWidth="1"/>
    <col min="12" max="12" width="21.44140625" style="2" customWidth="1"/>
    <col min="13" max="13" width="16.5546875" style="2" customWidth="1"/>
    <col min="14" max="15" width="8.6640625" style="2"/>
    <col min="16" max="16" width="7.44140625" style="2" bestFit="1" customWidth="1"/>
    <col min="17" max="17" width="25.5546875" style="2" customWidth="1"/>
    <col min="18" max="18" width="8.6640625" style="2"/>
    <col min="19" max="19" width="24.5546875" style="2" customWidth="1"/>
    <col min="20" max="20" width="16.88671875" style="2" customWidth="1"/>
    <col min="21" max="22" width="8.6640625" style="2"/>
    <col min="23" max="23" width="8.6640625" style="4"/>
    <col min="24" max="24" width="8.6640625" style="2"/>
    <col min="25" max="26" width="48.88671875" style="74" customWidth="1"/>
    <col min="27" max="28" width="21.5546875" style="2" customWidth="1"/>
    <col min="29" max="29" width="13.109375" style="2" bestFit="1" customWidth="1"/>
    <col min="30" max="30" width="8.6640625" style="2"/>
    <col min="31" max="31" width="14" style="2" customWidth="1"/>
    <col min="32" max="16384" width="8.6640625" style="2"/>
  </cols>
  <sheetData>
    <row r="1" spans="1:31" ht="18" thickBot="1" x14ac:dyDescent="0.35">
      <c r="H1" s="3"/>
      <c r="I1" s="3"/>
      <c r="Y1" s="5" t="s">
        <v>57</v>
      </c>
      <c r="Z1" s="5" t="s">
        <v>154</v>
      </c>
      <c r="AA1" s="6" t="str">
        <f>MID(Y1,12,9)</f>
        <v>H</v>
      </c>
      <c r="AB1" s="6"/>
      <c r="AC1" s="6" t="str">
        <f>MID(Y1,29,9)</f>
        <v/>
      </c>
    </row>
    <row r="2" spans="1:31" ht="18" thickBot="1" x14ac:dyDescent="0.35">
      <c r="H2" s="7"/>
      <c r="I2" s="7"/>
      <c r="J2" s="8"/>
      <c r="K2" s="8"/>
      <c r="P2" s="9" t="s">
        <v>155</v>
      </c>
      <c r="Q2" s="10"/>
      <c r="X2" s="2">
        <v>1</v>
      </c>
      <c r="Y2"/>
      <c r="Z2" s="6" t="str">
        <f t="shared" ref="Z2:Z37" si="0">MID(Y2,1,9)</f>
        <v/>
      </c>
      <c r="AA2" s="6" t="str">
        <f t="shared" ref="AA2:AA37" si="1">MID(Y2,11,12)</f>
        <v/>
      </c>
      <c r="AB2" s="6"/>
      <c r="AC2" s="6" t="str">
        <f t="shared" ref="AC2:AC37" si="2">MID(Y2,29,13)</f>
        <v/>
      </c>
      <c r="AD2" s="2">
        <v>1</v>
      </c>
      <c r="AE2" s="11" t="str">
        <f t="shared" ref="AE2:AE37" si="3">CONCATENATE(AA2,AB2,AC2)</f>
        <v/>
      </c>
    </row>
    <row r="3" spans="1:31" ht="18.600000000000001" thickBot="1" x14ac:dyDescent="0.35">
      <c r="A3" s="9" t="s">
        <v>156</v>
      </c>
      <c r="B3" s="10"/>
      <c r="H3" s="9" t="s">
        <v>157</v>
      </c>
      <c r="I3" s="10"/>
      <c r="P3" s="12" t="s">
        <v>158</v>
      </c>
      <c r="Q3" s="13" t="s">
        <v>159</v>
      </c>
      <c r="R3" s="14" t="s">
        <v>158</v>
      </c>
      <c r="S3" s="13" t="s">
        <v>160</v>
      </c>
      <c r="T3" s="15" t="s">
        <v>161</v>
      </c>
      <c r="X3" s="2">
        <v>2</v>
      </c>
      <c r="Y3"/>
      <c r="Z3" s="6" t="str">
        <f t="shared" si="0"/>
        <v/>
      </c>
      <c r="AA3" s="6" t="str">
        <f t="shared" si="1"/>
        <v/>
      </c>
      <c r="AB3" s="6"/>
      <c r="AC3" s="6" t="str">
        <f t="shared" si="2"/>
        <v/>
      </c>
      <c r="AD3" s="2">
        <v>2</v>
      </c>
      <c r="AE3" s="11" t="str">
        <f t="shared" si="3"/>
        <v/>
      </c>
    </row>
    <row r="4" spans="1:31" ht="18" x14ac:dyDescent="0.3">
      <c r="A4" s="12" t="s">
        <v>158</v>
      </c>
      <c r="B4" s="13" t="s">
        <v>162</v>
      </c>
      <c r="C4" s="14" t="s">
        <v>158</v>
      </c>
      <c r="D4" s="13" t="s">
        <v>163</v>
      </c>
      <c r="E4" s="15" t="s">
        <v>161</v>
      </c>
      <c r="H4" s="12" t="s">
        <v>158</v>
      </c>
      <c r="I4" s="13" t="s">
        <v>159</v>
      </c>
      <c r="J4" s="13" t="s">
        <v>160</v>
      </c>
      <c r="K4" s="13" t="s">
        <v>164</v>
      </c>
      <c r="L4" s="13" t="s">
        <v>165</v>
      </c>
      <c r="M4" s="15" t="s">
        <v>161</v>
      </c>
      <c r="P4" s="16">
        <v>1</v>
      </c>
      <c r="Q4" s="17">
        <v>1</v>
      </c>
      <c r="R4" s="18">
        <v>25</v>
      </c>
      <c r="S4" s="19">
        <v>2</v>
      </c>
      <c r="T4" s="20" t="s">
        <v>166</v>
      </c>
      <c r="X4" s="2">
        <v>3</v>
      </c>
      <c r="Y4"/>
      <c r="Z4" s="6" t="str">
        <f t="shared" si="0"/>
        <v/>
      </c>
      <c r="AA4" s="6" t="str">
        <f t="shared" si="1"/>
        <v/>
      </c>
      <c r="AB4" s="6"/>
      <c r="AC4" s="6" t="str">
        <f t="shared" si="2"/>
        <v/>
      </c>
      <c r="AD4" s="2">
        <v>3</v>
      </c>
      <c r="AE4" s="11" t="str">
        <f t="shared" si="3"/>
        <v/>
      </c>
    </row>
    <row r="5" spans="1:31" ht="18" x14ac:dyDescent="0.3">
      <c r="A5" s="16">
        <v>1</v>
      </c>
      <c r="B5" s="17" t="str">
        <f>AE2</f>
        <v/>
      </c>
      <c r="C5" s="18">
        <v>1</v>
      </c>
      <c r="D5" s="19" t="str">
        <f>AE3</f>
        <v/>
      </c>
      <c r="E5" s="20" t="s">
        <v>166</v>
      </c>
      <c r="H5" s="21">
        <v>1</v>
      </c>
      <c r="I5" s="22"/>
      <c r="J5" s="23"/>
      <c r="K5" s="24"/>
      <c r="L5" s="25"/>
      <c r="M5" s="20" t="s">
        <v>166</v>
      </c>
      <c r="P5" s="16">
        <v>2</v>
      </c>
      <c r="Q5" s="26">
        <v>3</v>
      </c>
      <c r="R5" s="18">
        <v>26</v>
      </c>
      <c r="S5" s="27">
        <v>4</v>
      </c>
      <c r="T5" s="28"/>
      <c r="X5" s="2">
        <v>4</v>
      </c>
      <c r="Y5"/>
      <c r="Z5" s="6" t="str">
        <f t="shared" si="0"/>
        <v/>
      </c>
      <c r="AA5" s="6" t="str">
        <f t="shared" si="1"/>
        <v/>
      </c>
      <c r="AB5" s="6"/>
      <c r="AC5" s="6" t="str">
        <f t="shared" si="2"/>
        <v/>
      </c>
      <c r="AD5" s="2">
        <v>4</v>
      </c>
      <c r="AE5" s="11" t="str">
        <f t="shared" si="3"/>
        <v/>
      </c>
    </row>
    <row r="6" spans="1:31" ht="18" x14ac:dyDescent="0.3">
      <c r="A6" s="16">
        <v>2</v>
      </c>
      <c r="B6" s="26" t="str">
        <f>AE4</f>
        <v/>
      </c>
      <c r="C6" s="18">
        <v>2</v>
      </c>
      <c r="D6" s="27" t="str">
        <f>AE5</f>
        <v/>
      </c>
      <c r="E6" s="20"/>
      <c r="H6" s="21">
        <v>2</v>
      </c>
      <c r="I6" s="29" t="str">
        <f>AE2</f>
        <v/>
      </c>
      <c r="J6" s="29" t="str">
        <f>AE3</f>
        <v/>
      </c>
      <c r="K6" s="29" t="str">
        <f>AE4</f>
        <v/>
      </c>
      <c r="L6" s="29" t="str">
        <f>AE5</f>
        <v/>
      </c>
      <c r="M6" s="30"/>
      <c r="P6" s="16">
        <v>3</v>
      </c>
      <c r="Q6" s="31" t="str">
        <f>$AE$2</f>
        <v/>
      </c>
      <c r="R6" s="18">
        <v>27</v>
      </c>
      <c r="S6" s="31" t="str">
        <f>$AE$3</f>
        <v/>
      </c>
      <c r="T6" s="28"/>
      <c r="X6" s="2">
        <v>5</v>
      </c>
      <c r="Y6"/>
      <c r="Z6" s="6" t="str">
        <f t="shared" si="0"/>
        <v/>
      </c>
      <c r="AA6" s="6" t="str">
        <f t="shared" si="1"/>
        <v/>
      </c>
      <c r="AB6" s="6"/>
      <c r="AC6" s="6" t="str">
        <f t="shared" si="2"/>
        <v/>
      </c>
      <c r="AD6" s="2">
        <v>5</v>
      </c>
      <c r="AE6" s="11" t="str">
        <f t="shared" si="3"/>
        <v/>
      </c>
    </row>
    <row r="7" spans="1:31" ht="18" x14ac:dyDescent="0.3">
      <c r="A7" s="16">
        <v>3</v>
      </c>
      <c r="B7" s="32" t="str">
        <f>AE6</f>
        <v/>
      </c>
      <c r="C7" s="18">
        <v>3</v>
      </c>
      <c r="D7" s="32" t="str">
        <f>AE7</f>
        <v/>
      </c>
      <c r="E7" s="28"/>
      <c r="H7" s="21">
        <v>3</v>
      </c>
      <c r="I7" s="29" t="str">
        <f>AE6</f>
        <v/>
      </c>
      <c r="J7" s="29" t="str">
        <f>AE7</f>
        <v/>
      </c>
      <c r="K7" s="29" t="str">
        <f>AE8</f>
        <v/>
      </c>
      <c r="L7" s="29" t="str">
        <f>AE9</f>
        <v/>
      </c>
      <c r="M7" s="30"/>
      <c r="P7" s="16">
        <v>4</v>
      </c>
      <c r="Q7" s="31" t="str">
        <f>$AE$4</f>
        <v/>
      </c>
      <c r="R7" s="18">
        <v>28</v>
      </c>
      <c r="S7" s="31" t="str">
        <f>$AE$5</f>
        <v/>
      </c>
      <c r="T7" s="28"/>
      <c r="X7" s="2">
        <v>6</v>
      </c>
      <c r="Y7"/>
      <c r="Z7" s="6" t="str">
        <f t="shared" si="0"/>
        <v/>
      </c>
      <c r="AA7" s="6" t="str">
        <f t="shared" si="1"/>
        <v/>
      </c>
      <c r="AB7" s="6"/>
      <c r="AC7" s="6" t="str">
        <f t="shared" si="2"/>
        <v/>
      </c>
      <c r="AD7" s="2">
        <v>6</v>
      </c>
      <c r="AE7" s="11" t="str">
        <f t="shared" si="3"/>
        <v/>
      </c>
    </row>
    <row r="8" spans="1:31" ht="18" x14ac:dyDescent="0.3">
      <c r="A8" s="16">
        <v>4</v>
      </c>
      <c r="B8" s="32" t="str">
        <f>AE8</f>
        <v/>
      </c>
      <c r="C8" s="18">
        <v>4</v>
      </c>
      <c r="D8" s="27" t="str">
        <f>AE9</f>
        <v/>
      </c>
      <c r="E8" s="28"/>
      <c r="H8" s="21">
        <v>4</v>
      </c>
      <c r="I8" s="29" t="str">
        <f>AE10</f>
        <v/>
      </c>
      <c r="J8" s="29" t="str">
        <f>AE11</f>
        <v/>
      </c>
      <c r="K8" s="29" t="str">
        <f>AE12</f>
        <v/>
      </c>
      <c r="L8" s="29" t="str">
        <f>AE13</f>
        <v/>
      </c>
      <c r="M8" s="30"/>
      <c r="P8" s="16">
        <v>5</v>
      </c>
      <c r="Q8" s="31" t="str">
        <f>$AE$6</f>
        <v/>
      </c>
      <c r="R8" s="18">
        <v>29</v>
      </c>
      <c r="S8" s="31" t="str">
        <f>$AE$7</f>
        <v/>
      </c>
      <c r="T8" s="28"/>
      <c r="X8" s="2">
        <v>7</v>
      </c>
      <c r="Y8"/>
      <c r="Z8" s="6" t="str">
        <f t="shared" si="0"/>
        <v/>
      </c>
      <c r="AA8" s="6" t="str">
        <f t="shared" si="1"/>
        <v/>
      </c>
      <c r="AB8" s="6"/>
      <c r="AC8" s="6" t="str">
        <f t="shared" si="2"/>
        <v/>
      </c>
      <c r="AD8" s="2">
        <v>7</v>
      </c>
      <c r="AE8" s="11" t="str">
        <f t="shared" si="3"/>
        <v/>
      </c>
    </row>
    <row r="9" spans="1:31" ht="18" x14ac:dyDescent="0.3">
      <c r="A9" s="16">
        <v>5</v>
      </c>
      <c r="B9" s="32" t="str">
        <f>AE10</f>
        <v/>
      </c>
      <c r="C9" s="18">
        <v>5</v>
      </c>
      <c r="D9" s="32" t="str">
        <f>AE11</f>
        <v/>
      </c>
      <c r="E9" s="28"/>
      <c r="H9" s="21">
        <v>5</v>
      </c>
      <c r="I9" s="29" t="str">
        <f>AE14</f>
        <v/>
      </c>
      <c r="J9" s="29" t="str">
        <f>AE15</f>
        <v/>
      </c>
      <c r="K9" s="29" t="str">
        <f>AE16</f>
        <v/>
      </c>
      <c r="L9" s="29" t="str">
        <f>AE17</f>
        <v/>
      </c>
      <c r="M9" s="30"/>
      <c r="P9" s="16">
        <v>6</v>
      </c>
      <c r="Q9" s="31" t="str">
        <f>$AE$8</f>
        <v/>
      </c>
      <c r="R9" s="18">
        <v>30</v>
      </c>
      <c r="S9" s="31" t="str">
        <f>$AE$9</f>
        <v/>
      </c>
      <c r="T9" s="28"/>
      <c r="X9" s="2">
        <v>8</v>
      </c>
      <c r="Y9"/>
      <c r="Z9" s="6" t="str">
        <f t="shared" si="0"/>
        <v/>
      </c>
      <c r="AA9" s="6" t="str">
        <f t="shared" si="1"/>
        <v/>
      </c>
      <c r="AB9" s="6"/>
      <c r="AC9" s="6" t="str">
        <f t="shared" si="2"/>
        <v/>
      </c>
      <c r="AD9" s="2">
        <v>8</v>
      </c>
      <c r="AE9" s="11" t="str">
        <f t="shared" si="3"/>
        <v/>
      </c>
    </row>
    <row r="10" spans="1:31" ht="18" x14ac:dyDescent="0.3">
      <c r="A10" s="16">
        <v>6</v>
      </c>
      <c r="B10" s="33" t="str">
        <f>AE12</f>
        <v/>
      </c>
      <c r="C10" s="18">
        <v>6</v>
      </c>
      <c r="D10" s="27" t="str">
        <f>AE13</f>
        <v/>
      </c>
      <c r="E10" s="28"/>
      <c r="H10" s="21">
        <v>6</v>
      </c>
      <c r="I10" s="29" t="str">
        <f>AE18</f>
        <v/>
      </c>
      <c r="J10" s="29" t="str">
        <f>AE19</f>
        <v/>
      </c>
      <c r="K10" s="29" t="str">
        <f>AE20</f>
        <v/>
      </c>
      <c r="L10" s="29" t="str">
        <f>AE21</f>
        <v/>
      </c>
      <c r="M10" s="30"/>
      <c r="P10" s="16">
        <v>7</v>
      </c>
      <c r="Q10" s="31" t="str">
        <f>$AE$10</f>
        <v/>
      </c>
      <c r="R10" s="18">
        <v>31</v>
      </c>
      <c r="S10" s="31" t="str">
        <f>$AE$11</f>
        <v/>
      </c>
      <c r="T10" s="28"/>
      <c r="X10" s="2">
        <v>9</v>
      </c>
      <c r="Y10"/>
      <c r="Z10" s="6" t="str">
        <f t="shared" si="0"/>
        <v/>
      </c>
      <c r="AA10" s="6" t="str">
        <f t="shared" si="1"/>
        <v/>
      </c>
      <c r="AB10" s="6"/>
      <c r="AC10" s="6" t="str">
        <f t="shared" si="2"/>
        <v/>
      </c>
      <c r="AD10" s="2">
        <v>9</v>
      </c>
      <c r="AE10" s="11" t="str">
        <f t="shared" si="3"/>
        <v/>
      </c>
    </row>
    <row r="11" spans="1:31" ht="18" x14ac:dyDescent="0.3">
      <c r="A11" s="34">
        <v>7</v>
      </c>
      <c r="B11" s="35" t="s">
        <v>167</v>
      </c>
      <c r="C11" s="36">
        <v>7</v>
      </c>
      <c r="D11" s="35" t="s">
        <v>167</v>
      </c>
      <c r="E11" s="37" t="s">
        <v>168</v>
      </c>
      <c r="H11" s="16">
        <v>7</v>
      </c>
      <c r="I11" s="29" t="str">
        <f>AE22</f>
        <v/>
      </c>
      <c r="J11" s="29" t="str">
        <f>AE23</f>
        <v/>
      </c>
      <c r="K11" s="29" t="str">
        <f>AE24</f>
        <v/>
      </c>
      <c r="L11" s="29" t="str">
        <f>AE25</f>
        <v/>
      </c>
      <c r="M11" s="30"/>
      <c r="P11" s="16">
        <v>8</v>
      </c>
      <c r="Q11" s="31" t="str">
        <f>$AE$12</f>
        <v/>
      </c>
      <c r="R11" s="18">
        <v>32</v>
      </c>
      <c r="S11" s="31" t="str">
        <f>$AE$13</f>
        <v/>
      </c>
      <c r="T11" s="28"/>
      <c r="X11" s="2">
        <v>10</v>
      </c>
      <c r="Y11"/>
      <c r="Z11" s="6" t="str">
        <f t="shared" si="0"/>
        <v/>
      </c>
      <c r="AA11" s="6" t="str">
        <f t="shared" si="1"/>
        <v/>
      </c>
      <c r="AB11" s="6"/>
      <c r="AC11" s="6" t="str">
        <f t="shared" si="2"/>
        <v/>
      </c>
      <c r="AD11" s="2">
        <v>10</v>
      </c>
      <c r="AE11" s="11" t="str">
        <f t="shared" si="3"/>
        <v/>
      </c>
    </row>
    <row r="12" spans="1:31" ht="18.600000000000001" thickBot="1" x14ac:dyDescent="0.35">
      <c r="A12" s="38">
        <v>8</v>
      </c>
      <c r="B12" s="39" t="s">
        <v>167</v>
      </c>
      <c r="C12" s="40">
        <v>8</v>
      </c>
      <c r="D12" s="39" t="s">
        <v>167</v>
      </c>
      <c r="E12" s="41" t="s">
        <v>168</v>
      </c>
      <c r="H12" s="16">
        <v>8</v>
      </c>
      <c r="I12" s="42" t="str">
        <f>AE26</f>
        <v/>
      </c>
      <c r="J12" s="42" t="str">
        <f>AE27</f>
        <v/>
      </c>
      <c r="K12" s="42" t="str">
        <f>AE28</f>
        <v/>
      </c>
      <c r="L12" s="42" t="str">
        <f>AE29</f>
        <v/>
      </c>
      <c r="M12" s="30"/>
      <c r="P12" s="16">
        <v>9</v>
      </c>
      <c r="Q12" s="31" t="str">
        <f>$AE$14</f>
        <v/>
      </c>
      <c r="R12" s="18">
        <v>33</v>
      </c>
      <c r="S12" s="31" t="str">
        <f>$AE$15</f>
        <v/>
      </c>
      <c r="T12" s="28"/>
      <c r="X12" s="2">
        <v>11</v>
      </c>
      <c r="Y12" s="43"/>
      <c r="Z12" s="6" t="str">
        <f t="shared" si="0"/>
        <v/>
      </c>
      <c r="AA12" s="6" t="str">
        <f t="shared" si="1"/>
        <v/>
      </c>
      <c r="AB12" s="6"/>
      <c r="AC12" s="6" t="str">
        <f t="shared" si="2"/>
        <v/>
      </c>
      <c r="AD12" s="2">
        <v>11</v>
      </c>
      <c r="AE12" s="11" t="str">
        <f t="shared" si="3"/>
        <v/>
      </c>
    </row>
    <row r="13" spans="1:31" ht="18.600000000000001" thickBot="1" x14ac:dyDescent="0.35">
      <c r="H13" s="44">
        <v>9</v>
      </c>
      <c r="I13" s="45" t="str">
        <f>AE30</f>
        <v/>
      </c>
      <c r="J13" s="45" t="str">
        <f>AE31</f>
        <v/>
      </c>
      <c r="K13" s="45" t="str">
        <f>AE32</f>
        <v/>
      </c>
      <c r="L13" s="45" t="str">
        <f>AE33</f>
        <v/>
      </c>
      <c r="M13" s="46"/>
      <c r="P13" s="16">
        <v>10</v>
      </c>
      <c r="Q13" s="31" t="str">
        <f>$AE$16</f>
        <v/>
      </c>
      <c r="R13" s="18">
        <v>34</v>
      </c>
      <c r="S13" s="31" t="str">
        <f>$AE$17</f>
        <v/>
      </c>
      <c r="T13" s="28"/>
      <c r="X13" s="2">
        <v>12</v>
      </c>
      <c r="Y13" s="43"/>
      <c r="Z13" s="6" t="str">
        <f t="shared" si="0"/>
        <v/>
      </c>
      <c r="AA13" s="6" t="str">
        <f t="shared" si="1"/>
        <v/>
      </c>
      <c r="AB13" s="6"/>
      <c r="AC13" s="6" t="str">
        <f t="shared" si="2"/>
        <v/>
      </c>
      <c r="AD13" s="2">
        <v>12</v>
      </c>
      <c r="AE13" s="11" t="str">
        <f t="shared" si="3"/>
        <v/>
      </c>
    </row>
    <row r="14" spans="1:31" ht="18" x14ac:dyDescent="0.3">
      <c r="P14" s="16">
        <v>11</v>
      </c>
      <c r="Q14" s="31" t="str">
        <f>$AE$18</f>
        <v/>
      </c>
      <c r="R14" s="18">
        <v>35</v>
      </c>
      <c r="S14" s="31" t="str">
        <f>$AE$19</f>
        <v/>
      </c>
      <c r="T14" s="28"/>
      <c r="X14" s="2">
        <v>13</v>
      </c>
      <c r="Y14" s="43"/>
      <c r="Z14" s="6" t="str">
        <f t="shared" si="0"/>
        <v/>
      </c>
      <c r="AA14" s="6" t="str">
        <f t="shared" si="1"/>
        <v/>
      </c>
      <c r="AB14" s="6"/>
      <c r="AC14" s="6" t="str">
        <f t="shared" si="2"/>
        <v/>
      </c>
      <c r="AD14" s="2">
        <v>13</v>
      </c>
      <c r="AE14" s="11" t="str">
        <f t="shared" si="3"/>
        <v/>
      </c>
    </row>
    <row r="15" spans="1:31" ht="18.600000000000001" thickBot="1" x14ac:dyDescent="0.35">
      <c r="H15" s="47" t="s">
        <v>169</v>
      </c>
      <c r="I15" s="48"/>
      <c r="P15" s="16">
        <v>12</v>
      </c>
      <c r="Q15" s="31" t="str">
        <f>$AE$20</f>
        <v/>
      </c>
      <c r="R15" s="18">
        <v>36</v>
      </c>
      <c r="S15" s="31" t="str">
        <f>$AE$21</f>
        <v/>
      </c>
      <c r="T15" s="28"/>
      <c r="X15" s="2">
        <v>14</v>
      </c>
      <c r="Y15" s="43"/>
      <c r="Z15" s="6" t="str">
        <f t="shared" si="0"/>
        <v/>
      </c>
      <c r="AA15" s="6" t="str">
        <f t="shared" si="1"/>
        <v/>
      </c>
      <c r="AB15" s="6"/>
      <c r="AC15" s="6" t="str">
        <f t="shared" si="2"/>
        <v/>
      </c>
      <c r="AD15" s="2">
        <v>14</v>
      </c>
      <c r="AE15" s="11" t="str">
        <f t="shared" si="3"/>
        <v/>
      </c>
    </row>
    <row r="16" spans="1:31" ht="18" x14ac:dyDescent="0.3">
      <c r="H16" s="12" t="s">
        <v>158</v>
      </c>
      <c r="I16" s="13" t="s">
        <v>159</v>
      </c>
      <c r="J16" s="13" t="s">
        <v>160</v>
      </c>
      <c r="K16" s="15" t="s">
        <v>161</v>
      </c>
      <c r="P16" s="49">
        <v>13</v>
      </c>
      <c r="Q16" s="31" t="str">
        <f>$AE$22</f>
        <v/>
      </c>
      <c r="R16" s="18">
        <v>37</v>
      </c>
      <c r="S16" s="31" t="str">
        <f>$AE$23</f>
        <v/>
      </c>
      <c r="T16" s="50"/>
      <c r="X16" s="2">
        <v>15</v>
      </c>
      <c r="Y16" s="43"/>
      <c r="Z16" s="6" t="str">
        <f t="shared" si="0"/>
        <v/>
      </c>
      <c r="AA16" s="6" t="str">
        <f t="shared" si="1"/>
        <v/>
      </c>
      <c r="AB16" s="6"/>
      <c r="AC16" s="6" t="str">
        <f t="shared" si="2"/>
        <v/>
      </c>
      <c r="AD16" s="2">
        <v>15</v>
      </c>
      <c r="AE16" s="11" t="str">
        <f t="shared" si="3"/>
        <v/>
      </c>
    </row>
    <row r="17" spans="1:31" ht="18" x14ac:dyDescent="0.3">
      <c r="H17" s="16">
        <v>1</v>
      </c>
      <c r="I17" s="27"/>
      <c r="J17" s="27"/>
      <c r="K17" s="51"/>
      <c r="P17" s="49">
        <v>14</v>
      </c>
      <c r="Q17" s="31" t="str">
        <f>$AE$24</f>
        <v/>
      </c>
      <c r="R17" s="18">
        <v>38</v>
      </c>
      <c r="S17" s="31" t="str">
        <f>$AE$25</f>
        <v/>
      </c>
      <c r="T17" s="50"/>
      <c r="X17" s="2">
        <v>16</v>
      </c>
      <c r="Y17" s="43"/>
      <c r="Z17" s="6" t="str">
        <f t="shared" si="0"/>
        <v/>
      </c>
      <c r="AA17" s="6" t="str">
        <f t="shared" si="1"/>
        <v/>
      </c>
      <c r="AB17" s="6"/>
      <c r="AC17" s="6" t="str">
        <f t="shared" si="2"/>
        <v/>
      </c>
      <c r="AD17" s="2">
        <v>16</v>
      </c>
      <c r="AE17" s="11" t="str">
        <f t="shared" si="3"/>
        <v/>
      </c>
    </row>
    <row r="18" spans="1:31" ht="18.600000000000001" thickBot="1" x14ac:dyDescent="0.35">
      <c r="H18" s="44">
        <v>2</v>
      </c>
      <c r="I18" s="52" t="str">
        <f>AE2</f>
        <v/>
      </c>
      <c r="J18" s="53" t="str">
        <f>AE3</f>
        <v/>
      </c>
      <c r="K18" s="54"/>
      <c r="P18" s="49">
        <v>15</v>
      </c>
      <c r="Q18" s="31" t="str">
        <f>$AE$26</f>
        <v/>
      </c>
      <c r="R18" s="18">
        <v>39</v>
      </c>
      <c r="S18" s="31" t="str">
        <f>$AE$27</f>
        <v/>
      </c>
      <c r="T18" s="50"/>
      <c r="X18" s="2">
        <v>17</v>
      </c>
      <c r="Y18" s="43"/>
      <c r="Z18" s="6" t="str">
        <f t="shared" si="0"/>
        <v/>
      </c>
      <c r="AA18" s="6" t="str">
        <f t="shared" si="1"/>
        <v/>
      </c>
      <c r="AB18" s="6"/>
      <c r="AC18" s="6" t="str">
        <f t="shared" si="2"/>
        <v/>
      </c>
      <c r="AD18" s="2">
        <v>17</v>
      </c>
      <c r="AE18" s="11" t="str">
        <f t="shared" si="3"/>
        <v/>
      </c>
    </row>
    <row r="19" spans="1:31" ht="18" x14ac:dyDescent="0.3">
      <c r="P19" s="16">
        <v>16</v>
      </c>
      <c r="Q19" s="31" t="str">
        <f>$AE$28</f>
        <v/>
      </c>
      <c r="R19" s="18">
        <v>40</v>
      </c>
      <c r="S19" s="31" t="str">
        <f>$AE$29</f>
        <v/>
      </c>
      <c r="T19" s="50"/>
      <c r="X19" s="2">
        <v>18</v>
      </c>
      <c r="Y19" s="43"/>
      <c r="Z19" s="6" t="str">
        <f t="shared" si="0"/>
        <v/>
      </c>
      <c r="AA19" s="6" t="str">
        <f t="shared" si="1"/>
        <v/>
      </c>
      <c r="AB19" s="6"/>
      <c r="AC19" s="6" t="str">
        <f t="shared" si="2"/>
        <v/>
      </c>
      <c r="AD19" s="2">
        <v>18</v>
      </c>
      <c r="AE19" s="11" t="str">
        <f t="shared" si="3"/>
        <v/>
      </c>
    </row>
    <row r="20" spans="1:31" ht="18.600000000000001" thickBot="1" x14ac:dyDescent="0.35">
      <c r="P20" s="16">
        <v>17</v>
      </c>
      <c r="Q20" s="31" t="str">
        <f>$AE$30</f>
        <v/>
      </c>
      <c r="R20" s="18">
        <v>41</v>
      </c>
      <c r="S20" s="31" t="str">
        <f>$AE$31</f>
        <v/>
      </c>
      <c r="T20" s="50"/>
      <c r="X20" s="2">
        <v>19</v>
      </c>
      <c r="Y20" s="43"/>
      <c r="Z20" s="6" t="str">
        <f t="shared" si="0"/>
        <v/>
      </c>
      <c r="AA20" s="6" t="str">
        <f t="shared" si="1"/>
        <v/>
      </c>
      <c r="AB20" s="6"/>
      <c r="AC20" s="6" t="str">
        <f t="shared" si="2"/>
        <v/>
      </c>
      <c r="AD20" s="2">
        <v>19</v>
      </c>
      <c r="AE20" s="11" t="str">
        <f t="shared" si="3"/>
        <v/>
      </c>
    </row>
    <row r="21" spans="1:31" ht="18.600000000000001" thickBot="1" x14ac:dyDescent="0.35">
      <c r="A21" s="55" t="s">
        <v>170</v>
      </c>
      <c r="B21" s="56"/>
      <c r="H21" s="9" t="s">
        <v>169</v>
      </c>
      <c r="I21" s="10"/>
      <c r="P21" s="49">
        <v>18</v>
      </c>
      <c r="Q21" s="31" t="str">
        <f>$AE$32</f>
        <v/>
      </c>
      <c r="R21" s="18">
        <v>42</v>
      </c>
      <c r="S21" s="31" t="str">
        <f>$AE$33</f>
        <v/>
      </c>
      <c r="T21" s="50"/>
      <c r="X21" s="2">
        <v>20</v>
      </c>
      <c r="Y21" s="43"/>
      <c r="Z21" s="6" t="str">
        <f t="shared" si="0"/>
        <v/>
      </c>
      <c r="AA21" s="6" t="str">
        <f t="shared" si="1"/>
        <v/>
      </c>
      <c r="AB21" s="6"/>
      <c r="AC21" s="6" t="str">
        <f t="shared" si="2"/>
        <v/>
      </c>
      <c r="AD21" s="2">
        <v>20</v>
      </c>
      <c r="AE21" s="11" t="str">
        <f t="shared" si="3"/>
        <v/>
      </c>
    </row>
    <row r="22" spans="1:31" ht="18" x14ac:dyDescent="0.3">
      <c r="A22" s="12" t="s">
        <v>158</v>
      </c>
      <c r="B22" s="13" t="s">
        <v>162</v>
      </c>
      <c r="C22" s="14" t="s">
        <v>158</v>
      </c>
      <c r="D22" s="13" t="s">
        <v>163</v>
      </c>
      <c r="E22" s="15" t="s">
        <v>161</v>
      </c>
      <c r="H22" s="57" t="s">
        <v>158</v>
      </c>
      <c r="I22" s="58">
        <v>1</v>
      </c>
      <c r="J22" s="58">
        <v>2</v>
      </c>
      <c r="K22" s="58">
        <v>3</v>
      </c>
      <c r="L22" s="58">
        <v>4</v>
      </c>
      <c r="M22" s="59" t="s">
        <v>161</v>
      </c>
      <c r="P22" s="49">
        <v>19</v>
      </c>
      <c r="Q22" s="31" t="str">
        <f>$AE$34</f>
        <v/>
      </c>
      <c r="R22" s="18">
        <v>43</v>
      </c>
      <c r="S22" s="31" t="str">
        <f>$AE$35</f>
        <v/>
      </c>
      <c r="T22" s="37" t="s">
        <v>168</v>
      </c>
      <c r="X22" s="2">
        <v>21</v>
      </c>
      <c r="Y22" s="43"/>
      <c r="Z22" s="6" t="str">
        <f t="shared" si="0"/>
        <v/>
      </c>
      <c r="AA22" s="6" t="str">
        <f t="shared" si="1"/>
        <v/>
      </c>
      <c r="AB22" s="6"/>
      <c r="AC22" s="6" t="str">
        <f t="shared" si="2"/>
        <v/>
      </c>
      <c r="AD22" s="2">
        <v>21</v>
      </c>
      <c r="AE22" s="11" t="str">
        <f t="shared" si="3"/>
        <v/>
      </c>
    </row>
    <row r="23" spans="1:31" ht="18.600000000000001" thickBot="1" x14ac:dyDescent="0.35">
      <c r="A23" s="16">
        <v>1</v>
      </c>
      <c r="B23" s="60"/>
      <c r="C23" s="61">
        <v>1</v>
      </c>
      <c r="D23" s="62"/>
      <c r="E23" s="20" t="s">
        <v>166</v>
      </c>
      <c r="H23" s="63">
        <v>1</v>
      </c>
      <c r="I23" s="64"/>
      <c r="J23" s="64"/>
      <c r="K23" s="64" t="str">
        <f>AE2</f>
        <v/>
      </c>
      <c r="L23" s="64" t="str">
        <f>AE3</f>
        <v/>
      </c>
      <c r="M23" s="65"/>
      <c r="P23" s="49">
        <v>20</v>
      </c>
      <c r="Q23" s="31" t="str">
        <f>AE36</f>
        <v/>
      </c>
      <c r="R23" s="18">
        <v>44</v>
      </c>
      <c r="S23" s="31" t="str">
        <f>$AE$37</f>
        <v/>
      </c>
      <c r="T23" s="37" t="s">
        <v>168</v>
      </c>
      <c r="X23" s="2">
        <v>22</v>
      </c>
      <c r="Y23" s="43"/>
      <c r="Z23" s="6" t="str">
        <f t="shared" si="0"/>
        <v/>
      </c>
      <c r="AA23" s="6" t="str">
        <f t="shared" si="1"/>
        <v/>
      </c>
      <c r="AB23" s="6"/>
      <c r="AC23" s="6" t="str">
        <f t="shared" si="2"/>
        <v/>
      </c>
      <c r="AD23" s="2">
        <v>22</v>
      </c>
      <c r="AE23" s="11" t="str">
        <f t="shared" si="3"/>
        <v/>
      </c>
    </row>
    <row r="24" spans="1:31" ht="18" x14ac:dyDescent="0.3">
      <c r="A24" s="16">
        <v>2</v>
      </c>
      <c r="B24" s="60"/>
      <c r="C24" s="61">
        <v>2</v>
      </c>
      <c r="D24" s="60"/>
      <c r="E24" s="20"/>
      <c r="P24" s="66">
        <v>21</v>
      </c>
      <c r="Q24" s="67" t="s">
        <v>167</v>
      </c>
      <c r="R24" s="68">
        <v>45</v>
      </c>
      <c r="S24" s="67" t="s">
        <v>167</v>
      </c>
      <c r="T24" s="37" t="s">
        <v>168</v>
      </c>
      <c r="X24" s="2">
        <v>23</v>
      </c>
      <c r="Y24" s="43"/>
      <c r="Z24" s="6" t="str">
        <f t="shared" si="0"/>
        <v/>
      </c>
      <c r="AA24" s="6" t="str">
        <f t="shared" si="1"/>
        <v/>
      </c>
      <c r="AB24" s="6"/>
      <c r="AC24" s="6" t="str">
        <f t="shared" si="2"/>
        <v/>
      </c>
      <c r="AD24" s="2">
        <v>23</v>
      </c>
      <c r="AE24" s="11" t="str">
        <f t="shared" si="3"/>
        <v/>
      </c>
    </row>
    <row r="25" spans="1:31" ht="18.600000000000001" thickBot="1" x14ac:dyDescent="0.35">
      <c r="A25" s="16">
        <v>3</v>
      </c>
      <c r="B25" s="69"/>
      <c r="C25" s="61">
        <v>3</v>
      </c>
      <c r="D25" s="69"/>
      <c r="E25" s="28"/>
      <c r="P25" s="66">
        <v>22</v>
      </c>
      <c r="Q25" s="67" t="s">
        <v>167</v>
      </c>
      <c r="R25" s="68">
        <v>46</v>
      </c>
      <c r="S25" s="67" t="s">
        <v>167</v>
      </c>
      <c r="T25" s="37" t="s">
        <v>168</v>
      </c>
      <c r="X25" s="2">
        <v>24</v>
      </c>
      <c r="Y25" s="43"/>
      <c r="Z25" s="6" t="str">
        <f t="shared" si="0"/>
        <v/>
      </c>
      <c r="AA25" s="6" t="str">
        <f t="shared" si="1"/>
        <v/>
      </c>
      <c r="AB25" s="6"/>
      <c r="AC25" s="6" t="str">
        <f t="shared" si="2"/>
        <v/>
      </c>
      <c r="AD25" s="2">
        <v>24</v>
      </c>
      <c r="AE25" s="11" t="str">
        <f t="shared" si="3"/>
        <v/>
      </c>
    </row>
    <row r="26" spans="1:31" ht="18.600000000000001" thickBot="1" x14ac:dyDescent="0.35">
      <c r="A26" s="16">
        <v>4</v>
      </c>
      <c r="B26" s="69"/>
      <c r="C26" s="61">
        <v>4</v>
      </c>
      <c r="D26" s="69"/>
      <c r="E26" s="28"/>
      <c r="H26" s="9" t="s">
        <v>171</v>
      </c>
      <c r="I26" s="10"/>
      <c r="P26" s="66">
        <v>23</v>
      </c>
      <c r="Q26" s="67" t="s">
        <v>167</v>
      </c>
      <c r="R26" s="68">
        <v>47</v>
      </c>
      <c r="S26" s="67" t="s">
        <v>167</v>
      </c>
      <c r="T26" s="37" t="s">
        <v>168</v>
      </c>
      <c r="X26" s="2">
        <v>25</v>
      </c>
      <c r="Y26" s="43"/>
      <c r="Z26" s="6" t="str">
        <f t="shared" si="0"/>
        <v/>
      </c>
      <c r="AA26" s="6" t="str">
        <f t="shared" si="1"/>
        <v/>
      </c>
      <c r="AB26" s="6"/>
      <c r="AC26" s="6" t="str">
        <f t="shared" si="2"/>
        <v/>
      </c>
      <c r="AD26" s="2">
        <v>25</v>
      </c>
      <c r="AE26" s="11" t="str">
        <f t="shared" si="3"/>
        <v/>
      </c>
    </row>
    <row r="27" spans="1:31" ht="18.600000000000001" thickBot="1" x14ac:dyDescent="0.35">
      <c r="A27" s="16">
        <v>5</v>
      </c>
      <c r="B27" s="69"/>
      <c r="C27" s="61">
        <v>5</v>
      </c>
      <c r="D27" s="69"/>
      <c r="E27" s="28"/>
      <c r="H27" s="57" t="s">
        <v>158</v>
      </c>
      <c r="I27" s="58">
        <v>1</v>
      </c>
      <c r="J27" s="58">
        <v>2</v>
      </c>
      <c r="K27" s="58">
        <v>3</v>
      </c>
      <c r="L27" s="58">
        <v>4</v>
      </c>
      <c r="M27" s="59" t="s">
        <v>161</v>
      </c>
      <c r="P27" s="70">
        <v>24</v>
      </c>
      <c r="Q27" s="71" t="s">
        <v>167</v>
      </c>
      <c r="R27" s="72">
        <v>48</v>
      </c>
      <c r="S27" s="71" t="s">
        <v>167</v>
      </c>
      <c r="T27" s="73" t="s">
        <v>168</v>
      </c>
      <c r="X27" s="2">
        <v>26</v>
      </c>
      <c r="Z27" s="6" t="str">
        <f t="shared" si="0"/>
        <v/>
      </c>
      <c r="AA27" s="6" t="str">
        <f t="shared" si="1"/>
        <v/>
      </c>
      <c r="AB27" s="6"/>
      <c r="AC27" s="6" t="str">
        <f t="shared" si="2"/>
        <v/>
      </c>
      <c r="AD27" s="2">
        <v>26</v>
      </c>
      <c r="AE27" s="11" t="str">
        <f t="shared" si="3"/>
        <v/>
      </c>
    </row>
    <row r="28" spans="1:31" ht="18.600000000000001" thickBot="1" x14ac:dyDescent="0.35">
      <c r="A28" s="16">
        <v>6</v>
      </c>
      <c r="B28" s="69"/>
      <c r="C28" s="61">
        <v>6</v>
      </c>
      <c r="D28" s="69"/>
      <c r="E28" s="28"/>
      <c r="H28" s="63">
        <v>1</v>
      </c>
      <c r="I28" s="64"/>
      <c r="J28" s="64"/>
      <c r="K28" s="64"/>
      <c r="L28" s="64"/>
      <c r="M28" s="65"/>
      <c r="X28" s="2">
        <v>27</v>
      </c>
      <c r="Z28" s="6" t="str">
        <f t="shared" si="0"/>
        <v/>
      </c>
      <c r="AA28" s="6" t="str">
        <f t="shared" si="1"/>
        <v/>
      </c>
      <c r="AB28" s="6"/>
      <c r="AC28" s="6" t="str">
        <f t="shared" si="2"/>
        <v/>
      </c>
      <c r="AD28" s="2">
        <v>27</v>
      </c>
      <c r="AE28" s="11" t="str">
        <f t="shared" si="3"/>
        <v/>
      </c>
    </row>
    <row r="29" spans="1:31" ht="18" x14ac:dyDescent="0.3">
      <c r="A29" s="34">
        <v>7</v>
      </c>
      <c r="B29" s="35"/>
      <c r="C29" s="36">
        <v>7</v>
      </c>
      <c r="D29" s="35" t="s">
        <v>167</v>
      </c>
      <c r="E29" s="37" t="s">
        <v>168</v>
      </c>
      <c r="X29" s="2">
        <v>28</v>
      </c>
      <c r="Z29" s="6" t="str">
        <f t="shared" si="0"/>
        <v/>
      </c>
      <c r="AA29" s="6" t="str">
        <f t="shared" si="1"/>
        <v/>
      </c>
      <c r="AB29" s="6"/>
      <c r="AC29" s="6" t="str">
        <f t="shared" si="2"/>
        <v/>
      </c>
      <c r="AD29" s="2">
        <v>28</v>
      </c>
      <c r="AE29" s="11" t="str">
        <f t="shared" si="3"/>
        <v/>
      </c>
    </row>
    <row r="30" spans="1:31" ht="18.600000000000001" thickBot="1" x14ac:dyDescent="0.35">
      <c r="A30" s="38">
        <v>8</v>
      </c>
      <c r="B30" s="39" t="s">
        <v>167</v>
      </c>
      <c r="C30" s="40">
        <v>8</v>
      </c>
      <c r="D30" s="39" t="s">
        <v>167</v>
      </c>
      <c r="E30" s="41" t="s">
        <v>168</v>
      </c>
      <c r="X30" s="2">
        <v>29</v>
      </c>
      <c r="Z30" s="6" t="str">
        <f t="shared" si="0"/>
        <v/>
      </c>
      <c r="AA30" s="6" t="str">
        <f t="shared" si="1"/>
        <v/>
      </c>
      <c r="AB30" s="6"/>
      <c r="AC30" s="6" t="str">
        <f t="shared" si="2"/>
        <v/>
      </c>
      <c r="AD30" s="2">
        <v>29</v>
      </c>
      <c r="AE30" s="11" t="str">
        <f t="shared" si="3"/>
        <v/>
      </c>
    </row>
    <row r="31" spans="1:31" x14ac:dyDescent="0.3">
      <c r="X31" s="2">
        <v>30</v>
      </c>
      <c r="Z31" s="6" t="str">
        <f t="shared" si="0"/>
        <v/>
      </c>
      <c r="AA31" s="6" t="str">
        <f t="shared" si="1"/>
        <v/>
      </c>
      <c r="AB31" s="6"/>
      <c r="AC31" s="6" t="str">
        <f t="shared" si="2"/>
        <v/>
      </c>
      <c r="AD31" s="2">
        <v>30</v>
      </c>
      <c r="AE31" s="11" t="str">
        <f t="shared" si="3"/>
        <v/>
      </c>
    </row>
    <row r="32" spans="1:31" x14ac:dyDescent="0.3">
      <c r="X32" s="2">
        <v>31</v>
      </c>
      <c r="Z32" s="6" t="str">
        <f t="shared" si="0"/>
        <v/>
      </c>
      <c r="AA32" s="6" t="str">
        <f t="shared" si="1"/>
        <v/>
      </c>
      <c r="AB32" s="6"/>
      <c r="AC32" s="6" t="str">
        <f t="shared" si="2"/>
        <v/>
      </c>
      <c r="AD32" s="2">
        <v>31</v>
      </c>
      <c r="AE32" s="11" t="str">
        <f t="shared" si="3"/>
        <v/>
      </c>
    </row>
    <row r="33" spans="8:31" ht="18" thickBot="1" x14ac:dyDescent="0.35">
      <c r="H33" s="47" t="s">
        <v>172</v>
      </c>
      <c r="I33" s="48"/>
      <c r="X33" s="2">
        <v>32</v>
      </c>
      <c r="Z33" s="6" t="str">
        <f t="shared" si="0"/>
        <v/>
      </c>
      <c r="AA33" s="6" t="str">
        <f t="shared" si="1"/>
        <v/>
      </c>
      <c r="AB33" s="6"/>
      <c r="AC33" s="6" t="str">
        <f t="shared" si="2"/>
        <v/>
      </c>
      <c r="AD33" s="2">
        <v>32</v>
      </c>
      <c r="AE33" s="11" t="str">
        <f t="shared" si="3"/>
        <v/>
      </c>
    </row>
    <row r="34" spans="8:31" ht="18" x14ac:dyDescent="0.3">
      <c r="H34" s="12" t="s">
        <v>158</v>
      </c>
      <c r="I34" s="13"/>
      <c r="J34" s="13" t="s">
        <v>161</v>
      </c>
      <c r="X34" s="2">
        <v>33</v>
      </c>
      <c r="Z34" s="6" t="str">
        <f t="shared" si="0"/>
        <v/>
      </c>
      <c r="AA34" s="6" t="str">
        <f t="shared" si="1"/>
        <v/>
      </c>
      <c r="AB34" s="6"/>
      <c r="AC34" s="6" t="str">
        <f t="shared" si="2"/>
        <v/>
      </c>
      <c r="AD34" s="2">
        <v>33</v>
      </c>
      <c r="AE34" s="11" t="str">
        <f t="shared" si="3"/>
        <v/>
      </c>
    </row>
    <row r="35" spans="8:31" ht="18" x14ac:dyDescent="0.3">
      <c r="H35" s="16" t="s">
        <v>173</v>
      </c>
      <c r="I35" s="27" t="str">
        <f>AE2</f>
        <v/>
      </c>
      <c r="J35" s="27"/>
      <c r="X35" s="2">
        <v>34</v>
      </c>
      <c r="Z35" s="6" t="str">
        <f t="shared" si="0"/>
        <v/>
      </c>
      <c r="AA35" s="6" t="str">
        <f t="shared" si="1"/>
        <v/>
      </c>
      <c r="AB35" s="6"/>
      <c r="AC35" s="6" t="str">
        <f t="shared" si="2"/>
        <v/>
      </c>
      <c r="AD35" s="2">
        <v>34</v>
      </c>
      <c r="AE35" s="11" t="str">
        <f t="shared" si="3"/>
        <v/>
      </c>
    </row>
    <row r="36" spans="8:31" ht="18" x14ac:dyDescent="0.3">
      <c r="H36" s="16" t="s">
        <v>174</v>
      </c>
      <c r="I36" s="27" t="str">
        <f>AE3</f>
        <v/>
      </c>
      <c r="J36" s="27"/>
      <c r="X36" s="2">
        <v>35</v>
      </c>
      <c r="Z36" s="6" t="str">
        <f t="shared" si="0"/>
        <v/>
      </c>
      <c r="AA36" s="6" t="str">
        <f t="shared" si="1"/>
        <v/>
      </c>
      <c r="AB36" s="6"/>
      <c r="AC36" s="6" t="str">
        <f t="shared" si="2"/>
        <v/>
      </c>
      <c r="AD36" s="2">
        <v>35</v>
      </c>
      <c r="AE36" s="11" t="str">
        <f t="shared" si="3"/>
        <v/>
      </c>
    </row>
    <row r="37" spans="8:31" ht="18" x14ac:dyDescent="0.3">
      <c r="H37" s="16" t="s">
        <v>175</v>
      </c>
      <c r="I37" s="27" t="str">
        <f>AE4</f>
        <v/>
      </c>
      <c r="J37" s="27"/>
      <c r="X37" s="2">
        <v>36</v>
      </c>
      <c r="Z37" s="6" t="str">
        <f t="shared" si="0"/>
        <v/>
      </c>
      <c r="AA37" s="6" t="str">
        <f t="shared" si="1"/>
        <v/>
      </c>
      <c r="AB37" s="6"/>
      <c r="AC37" s="6" t="str">
        <f t="shared" si="2"/>
        <v/>
      </c>
      <c r="AD37" s="2">
        <v>36</v>
      </c>
      <c r="AE37" s="11" t="str">
        <f t="shared" si="3"/>
        <v/>
      </c>
    </row>
    <row r="38" spans="8:31" ht="18.600000000000001" thickBot="1" x14ac:dyDescent="0.35">
      <c r="H38" s="44" t="s">
        <v>176</v>
      </c>
      <c r="I38" s="27" t="str">
        <f>AE5</f>
        <v/>
      </c>
      <c r="J38" s="27"/>
      <c r="AA38" s="6" t="str">
        <f t="shared" ref="AA38:AB69" si="4">MID(Y38,12,9)</f>
        <v/>
      </c>
      <c r="AB38" s="6"/>
      <c r="AC38" s="6" t="str">
        <f t="shared" ref="AC38:AD69" si="5">MID(Y38,29,9)</f>
        <v/>
      </c>
      <c r="AE38" s="11"/>
    </row>
    <row r="39" spans="8:31" x14ac:dyDescent="0.3">
      <c r="AA39" s="6" t="str">
        <f t="shared" si="4"/>
        <v/>
      </c>
      <c r="AB39" s="6"/>
      <c r="AC39" s="6" t="str">
        <f t="shared" si="5"/>
        <v/>
      </c>
      <c r="AE39" s="11"/>
    </row>
    <row r="40" spans="8:31" x14ac:dyDescent="0.3">
      <c r="AA40" s="6" t="str">
        <f t="shared" si="4"/>
        <v/>
      </c>
      <c r="AB40" s="6"/>
      <c r="AC40" s="6" t="str">
        <f t="shared" si="5"/>
        <v/>
      </c>
      <c r="AE40" s="11"/>
    </row>
    <row r="41" spans="8:31" x14ac:dyDescent="0.3">
      <c r="AA41" s="6" t="str">
        <f t="shared" si="4"/>
        <v/>
      </c>
      <c r="AB41" s="6"/>
      <c r="AC41" s="6" t="str">
        <f t="shared" si="5"/>
        <v/>
      </c>
      <c r="AE41" s="11"/>
    </row>
    <row r="42" spans="8:31" x14ac:dyDescent="0.3">
      <c r="AA42" s="6" t="str">
        <f t="shared" si="4"/>
        <v/>
      </c>
      <c r="AB42" s="6"/>
      <c r="AC42" s="6" t="str">
        <f t="shared" si="5"/>
        <v/>
      </c>
      <c r="AE42" s="11"/>
    </row>
    <row r="43" spans="8:31" x14ac:dyDescent="0.3">
      <c r="AA43" s="6" t="str">
        <f t="shared" si="4"/>
        <v/>
      </c>
      <c r="AB43" s="6"/>
      <c r="AC43" s="6" t="str">
        <f t="shared" si="5"/>
        <v/>
      </c>
      <c r="AE43" s="11"/>
    </row>
    <row r="44" spans="8:31" x14ac:dyDescent="0.3">
      <c r="AA44" s="6" t="str">
        <f t="shared" si="4"/>
        <v/>
      </c>
      <c r="AB44" s="6"/>
      <c r="AC44" s="6" t="str">
        <f t="shared" si="5"/>
        <v/>
      </c>
      <c r="AE44" s="11"/>
    </row>
    <row r="45" spans="8:31" x14ac:dyDescent="0.3">
      <c r="AA45" s="6" t="str">
        <f t="shared" si="4"/>
        <v/>
      </c>
      <c r="AB45" s="6"/>
      <c r="AC45" s="6" t="str">
        <f t="shared" si="5"/>
        <v/>
      </c>
      <c r="AE45" s="11"/>
    </row>
    <row r="46" spans="8:31" x14ac:dyDescent="0.3">
      <c r="AA46" s="6" t="str">
        <f t="shared" si="4"/>
        <v/>
      </c>
      <c r="AB46" s="6"/>
      <c r="AC46" s="6" t="str">
        <f t="shared" si="5"/>
        <v/>
      </c>
      <c r="AE46" s="11"/>
    </row>
    <row r="47" spans="8:31" x14ac:dyDescent="0.3">
      <c r="W47" s="2"/>
      <c r="X47" s="4"/>
      <c r="Y47" s="2"/>
      <c r="AA47" s="74"/>
      <c r="AB47" s="6" t="str">
        <f t="shared" si="4"/>
        <v/>
      </c>
      <c r="AC47" s="6"/>
      <c r="AD47" s="6" t="str">
        <f t="shared" si="5"/>
        <v/>
      </c>
    </row>
    <row r="48" spans="8:31" x14ac:dyDescent="0.3">
      <c r="W48" s="2"/>
      <c r="X48" s="4"/>
      <c r="Y48" s="2"/>
      <c r="AA48" s="74"/>
      <c r="AB48" s="6" t="str">
        <f t="shared" si="4"/>
        <v/>
      </c>
      <c r="AC48" s="6"/>
      <c r="AD48" s="6" t="str">
        <f t="shared" si="5"/>
        <v/>
      </c>
    </row>
    <row r="49" spans="27:29" x14ac:dyDescent="0.3">
      <c r="AA49" s="6" t="str">
        <f t="shared" si="4"/>
        <v/>
      </c>
      <c r="AB49" s="6"/>
      <c r="AC49" s="6" t="str">
        <f t="shared" si="5"/>
        <v/>
      </c>
    </row>
    <row r="50" spans="27:29" x14ac:dyDescent="0.3">
      <c r="AA50" s="6" t="str">
        <f t="shared" si="4"/>
        <v/>
      </c>
      <c r="AB50" s="6"/>
      <c r="AC50" s="6" t="str">
        <f t="shared" si="5"/>
        <v/>
      </c>
    </row>
    <row r="51" spans="27:29" x14ac:dyDescent="0.3">
      <c r="AA51" s="6" t="str">
        <f t="shared" si="4"/>
        <v/>
      </c>
      <c r="AB51" s="6"/>
      <c r="AC51" s="6" t="str">
        <f t="shared" si="5"/>
        <v/>
      </c>
    </row>
    <row r="52" spans="27:29" x14ac:dyDescent="0.3">
      <c r="AA52" s="6" t="str">
        <f t="shared" si="4"/>
        <v/>
      </c>
      <c r="AB52" s="6"/>
      <c r="AC52" s="6" t="str">
        <f t="shared" si="5"/>
        <v/>
      </c>
    </row>
    <row r="53" spans="27:29" x14ac:dyDescent="0.3">
      <c r="AA53" s="6" t="str">
        <f t="shared" si="4"/>
        <v/>
      </c>
      <c r="AB53" s="6"/>
      <c r="AC53" s="6" t="str">
        <f t="shared" si="5"/>
        <v/>
      </c>
    </row>
    <row r="54" spans="27:29" x14ac:dyDescent="0.3">
      <c r="AA54" s="6" t="str">
        <f t="shared" si="4"/>
        <v/>
      </c>
      <c r="AB54" s="6"/>
      <c r="AC54" s="6" t="str">
        <f t="shared" si="5"/>
        <v/>
      </c>
    </row>
    <row r="55" spans="27:29" x14ac:dyDescent="0.3">
      <c r="AA55" s="6" t="str">
        <f t="shared" si="4"/>
        <v/>
      </c>
      <c r="AB55" s="6"/>
      <c r="AC55" s="6" t="str">
        <f t="shared" si="5"/>
        <v/>
      </c>
    </row>
    <row r="56" spans="27:29" x14ac:dyDescent="0.3">
      <c r="AA56" s="6" t="str">
        <f t="shared" si="4"/>
        <v/>
      </c>
      <c r="AB56" s="6"/>
      <c r="AC56" s="6" t="str">
        <f t="shared" si="5"/>
        <v/>
      </c>
    </row>
    <row r="57" spans="27:29" x14ac:dyDescent="0.3">
      <c r="AA57" s="6" t="str">
        <f t="shared" si="4"/>
        <v/>
      </c>
      <c r="AB57" s="6"/>
      <c r="AC57" s="6" t="str">
        <f t="shared" si="5"/>
        <v/>
      </c>
    </row>
    <row r="58" spans="27:29" x14ac:dyDescent="0.3">
      <c r="AA58" s="6" t="str">
        <f t="shared" si="4"/>
        <v/>
      </c>
      <c r="AB58" s="6"/>
      <c r="AC58" s="6" t="str">
        <f t="shared" si="5"/>
        <v/>
      </c>
    </row>
    <row r="59" spans="27:29" x14ac:dyDescent="0.3">
      <c r="AA59" s="6" t="str">
        <f t="shared" si="4"/>
        <v/>
      </c>
      <c r="AB59" s="6"/>
      <c r="AC59" s="6" t="str">
        <f t="shared" si="5"/>
        <v/>
      </c>
    </row>
    <row r="60" spans="27:29" x14ac:dyDescent="0.3">
      <c r="AA60" s="6" t="str">
        <f t="shared" si="4"/>
        <v/>
      </c>
      <c r="AB60" s="6"/>
      <c r="AC60" s="6" t="str">
        <f t="shared" si="5"/>
        <v/>
      </c>
    </row>
    <row r="61" spans="27:29" x14ac:dyDescent="0.3">
      <c r="AA61" s="6" t="str">
        <f t="shared" si="4"/>
        <v/>
      </c>
      <c r="AB61" s="6"/>
      <c r="AC61" s="6" t="str">
        <f t="shared" si="5"/>
        <v/>
      </c>
    </row>
    <row r="62" spans="27:29" x14ac:dyDescent="0.3">
      <c r="AA62" s="6" t="str">
        <f t="shared" si="4"/>
        <v/>
      </c>
      <c r="AB62" s="6"/>
      <c r="AC62" s="6" t="str">
        <f t="shared" si="5"/>
        <v/>
      </c>
    </row>
    <row r="63" spans="27:29" x14ac:dyDescent="0.3">
      <c r="AA63" s="6" t="str">
        <f t="shared" si="4"/>
        <v/>
      </c>
      <c r="AB63" s="6"/>
      <c r="AC63" s="6" t="str">
        <f t="shared" si="5"/>
        <v/>
      </c>
    </row>
    <row r="64" spans="27:29" x14ac:dyDescent="0.3">
      <c r="AA64" s="6" t="str">
        <f t="shared" si="4"/>
        <v/>
      </c>
      <c r="AB64" s="6"/>
      <c r="AC64" s="6" t="str">
        <f t="shared" si="5"/>
        <v/>
      </c>
    </row>
    <row r="65" spans="27:29" x14ac:dyDescent="0.3">
      <c r="AA65" s="6" t="str">
        <f t="shared" si="4"/>
        <v/>
      </c>
      <c r="AB65" s="6"/>
      <c r="AC65" s="6" t="str">
        <f t="shared" si="5"/>
        <v/>
      </c>
    </row>
    <row r="66" spans="27:29" x14ac:dyDescent="0.3">
      <c r="AA66" s="6" t="str">
        <f t="shared" si="4"/>
        <v/>
      </c>
      <c r="AB66" s="6"/>
      <c r="AC66" s="6" t="str">
        <f t="shared" si="5"/>
        <v/>
      </c>
    </row>
    <row r="67" spans="27:29" x14ac:dyDescent="0.3">
      <c r="AA67" s="6" t="str">
        <f t="shared" si="4"/>
        <v/>
      </c>
      <c r="AB67" s="6"/>
      <c r="AC67" s="6" t="str">
        <f t="shared" si="5"/>
        <v/>
      </c>
    </row>
    <row r="68" spans="27:29" x14ac:dyDescent="0.3">
      <c r="AA68" s="6" t="str">
        <f t="shared" si="4"/>
        <v/>
      </c>
      <c r="AB68" s="6"/>
      <c r="AC68" s="6" t="str">
        <f t="shared" si="5"/>
        <v/>
      </c>
    </row>
    <row r="69" spans="27:29" x14ac:dyDescent="0.3">
      <c r="AA69" s="6" t="str">
        <f t="shared" si="4"/>
        <v/>
      </c>
      <c r="AB69" s="6"/>
      <c r="AC69" s="6" t="str">
        <f t="shared" si="5"/>
        <v/>
      </c>
    </row>
    <row r="70" spans="27:29" x14ac:dyDescent="0.3">
      <c r="AA70" s="6" t="str">
        <f t="shared" ref="AA70:AA96" si="6">MID(Y70,12,9)</f>
        <v/>
      </c>
      <c r="AB70" s="6"/>
      <c r="AC70" s="6" t="str">
        <f t="shared" ref="AC70:AC96" si="7">MID(Y70,29,9)</f>
        <v/>
      </c>
    </row>
    <row r="71" spans="27:29" x14ac:dyDescent="0.3">
      <c r="AA71" s="6" t="str">
        <f t="shared" si="6"/>
        <v/>
      </c>
      <c r="AB71" s="6"/>
      <c r="AC71" s="6" t="str">
        <f t="shared" si="7"/>
        <v/>
      </c>
    </row>
    <row r="72" spans="27:29" x14ac:dyDescent="0.3">
      <c r="AA72" s="6" t="str">
        <f t="shared" si="6"/>
        <v/>
      </c>
      <c r="AB72" s="6"/>
      <c r="AC72" s="6" t="str">
        <f t="shared" si="7"/>
        <v/>
      </c>
    </row>
    <row r="73" spans="27:29" x14ac:dyDescent="0.3">
      <c r="AA73" s="6" t="str">
        <f t="shared" si="6"/>
        <v/>
      </c>
      <c r="AB73" s="6"/>
      <c r="AC73" s="6" t="str">
        <f t="shared" si="7"/>
        <v/>
      </c>
    </row>
    <row r="74" spans="27:29" x14ac:dyDescent="0.3">
      <c r="AA74" s="6" t="str">
        <f t="shared" si="6"/>
        <v/>
      </c>
      <c r="AB74" s="6"/>
      <c r="AC74" s="6" t="str">
        <f t="shared" si="7"/>
        <v/>
      </c>
    </row>
    <row r="75" spans="27:29" x14ac:dyDescent="0.3">
      <c r="AA75" s="6" t="str">
        <f t="shared" si="6"/>
        <v/>
      </c>
      <c r="AB75" s="6"/>
      <c r="AC75" s="6" t="str">
        <f t="shared" si="7"/>
        <v/>
      </c>
    </row>
    <row r="76" spans="27:29" x14ac:dyDescent="0.3">
      <c r="AA76" s="6" t="str">
        <f t="shared" si="6"/>
        <v/>
      </c>
      <c r="AB76" s="6"/>
      <c r="AC76" s="6" t="str">
        <f t="shared" si="7"/>
        <v/>
      </c>
    </row>
    <row r="77" spans="27:29" x14ac:dyDescent="0.3">
      <c r="AA77" s="6" t="str">
        <f t="shared" si="6"/>
        <v/>
      </c>
      <c r="AB77" s="6"/>
      <c r="AC77" s="6" t="str">
        <f t="shared" si="7"/>
        <v/>
      </c>
    </row>
    <row r="78" spans="27:29" x14ac:dyDescent="0.3">
      <c r="AA78" s="6" t="str">
        <f t="shared" si="6"/>
        <v/>
      </c>
      <c r="AB78" s="6"/>
      <c r="AC78" s="6" t="str">
        <f t="shared" si="7"/>
        <v/>
      </c>
    </row>
    <row r="79" spans="27:29" x14ac:dyDescent="0.3">
      <c r="AA79" s="6" t="str">
        <f t="shared" si="6"/>
        <v/>
      </c>
      <c r="AB79" s="6"/>
      <c r="AC79" s="6" t="str">
        <f t="shared" si="7"/>
        <v/>
      </c>
    </row>
    <row r="80" spans="27:29" x14ac:dyDescent="0.3">
      <c r="AA80" s="6" t="str">
        <f t="shared" si="6"/>
        <v/>
      </c>
      <c r="AB80" s="6"/>
      <c r="AC80" s="6" t="str">
        <f t="shared" si="7"/>
        <v/>
      </c>
    </row>
    <row r="81" spans="27:29" x14ac:dyDescent="0.3">
      <c r="AA81" s="6" t="str">
        <f t="shared" si="6"/>
        <v/>
      </c>
      <c r="AB81" s="6"/>
      <c r="AC81" s="6" t="str">
        <f t="shared" si="7"/>
        <v/>
      </c>
    </row>
    <row r="82" spans="27:29" x14ac:dyDescent="0.3">
      <c r="AA82" s="6" t="str">
        <f t="shared" si="6"/>
        <v/>
      </c>
      <c r="AB82" s="6"/>
      <c r="AC82" s="6" t="str">
        <f t="shared" si="7"/>
        <v/>
      </c>
    </row>
    <row r="83" spans="27:29" x14ac:dyDescent="0.3">
      <c r="AA83" s="6" t="str">
        <f t="shared" si="6"/>
        <v/>
      </c>
      <c r="AB83" s="6"/>
      <c r="AC83" s="6" t="str">
        <f t="shared" si="7"/>
        <v/>
      </c>
    </row>
    <row r="84" spans="27:29" x14ac:dyDescent="0.3">
      <c r="AA84" s="6" t="str">
        <f t="shared" si="6"/>
        <v/>
      </c>
      <c r="AB84" s="6"/>
      <c r="AC84" s="6" t="str">
        <f t="shared" si="7"/>
        <v/>
      </c>
    </row>
    <row r="85" spans="27:29" x14ac:dyDescent="0.3">
      <c r="AA85" s="6" t="str">
        <f t="shared" si="6"/>
        <v/>
      </c>
      <c r="AB85" s="6"/>
      <c r="AC85" s="6" t="str">
        <f t="shared" si="7"/>
        <v/>
      </c>
    </row>
    <row r="86" spans="27:29" x14ac:dyDescent="0.3">
      <c r="AA86" s="6" t="str">
        <f t="shared" si="6"/>
        <v/>
      </c>
      <c r="AB86" s="6"/>
      <c r="AC86" s="6" t="str">
        <f t="shared" si="7"/>
        <v/>
      </c>
    </row>
    <row r="87" spans="27:29" x14ac:dyDescent="0.3">
      <c r="AA87" s="6" t="str">
        <f t="shared" si="6"/>
        <v/>
      </c>
      <c r="AB87" s="6"/>
      <c r="AC87" s="6" t="str">
        <f t="shared" si="7"/>
        <v/>
      </c>
    </row>
    <row r="88" spans="27:29" x14ac:dyDescent="0.3">
      <c r="AA88" s="6" t="str">
        <f t="shared" si="6"/>
        <v/>
      </c>
      <c r="AB88" s="6"/>
      <c r="AC88" s="6" t="str">
        <f t="shared" si="7"/>
        <v/>
      </c>
    </row>
    <row r="89" spans="27:29" x14ac:dyDescent="0.3">
      <c r="AA89" s="6" t="str">
        <f t="shared" si="6"/>
        <v/>
      </c>
      <c r="AB89" s="6"/>
      <c r="AC89" s="6" t="str">
        <f t="shared" si="7"/>
        <v/>
      </c>
    </row>
    <row r="90" spans="27:29" x14ac:dyDescent="0.3">
      <c r="AA90" s="6" t="str">
        <f t="shared" si="6"/>
        <v/>
      </c>
      <c r="AB90" s="6"/>
      <c r="AC90" s="6" t="str">
        <f t="shared" si="7"/>
        <v/>
      </c>
    </row>
    <row r="91" spans="27:29" x14ac:dyDescent="0.3">
      <c r="AA91" s="6" t="str">
        <f t="shared" si="6"/>
        <v/>
      </c>
      <c r="AB91" s="6"/>
      <c r="AC91" s="6" t="str">
        <f t="shared" si="7"/>
        <v/>
      </c>
    </row>
    <row r="92" spans="27:29" x14ac:dyDescent="0.3">
      <c r="AA92" s="6" t="str">
        <f t="shared" si="6"/>
        <v/>
      </c>
      <c r="AB92" s="6"/>
      <c r="AC92" s="6" t="str">
        <f t="shared" si="7"/>
        <v/>
      </c>
    </row>
    <row r="93" spans="27:29" x14ac:dyDescent="0.3">
      <c r="AA93" s="6" t="str">
        <f t="shared" si="6"/>
        <v/>
      </c>
      <c r="AB93" s="6"/>
      <c r="AC93" s="6" t="str">
        <f t="shared" si="7"/>
        <v/>
      </c>
    </row>
    <row r="94" spans="27:29" x14ac:dyDescent="0.3">
      <c r="AA94" s="6" t="str">
        <f t="shared" si="6"/>
        <v/>
      </c>
      <c r="AB94" s="6"/>
      <c r="AC94" s="6" t="str">
        <f t="shared" si="7"/>
        <v/>
      </c>
    </row>
    <row r="95" spans="27:29" x14ac:dyDescent="0.3">
      <c r="AA95" s="6" t="str">
        <f t="shared" si="6"/>
        <v/>
      </c>
      <c r="AB95" s="6"/>
      <c r="AC95" s="6" t="str">
        <f t="shared" si="7"/>
        <v/>
      </c>
    </row>
    <row r="96" spans="27:29" x14ac:dyDescent="0.3">
      <c r="AA96" s="6" t="str">
        <f t="shared" si="6"/>
        <v/>
      </c>
      <c r="AB96" s="6"/>
      <c r="AC96" s="6" t="str">
        <f t="shared" si="7"/>
        <v/>
      </c>
    </row>
  </sheetData>
  <mergeCells count="10">
    <mergeCell ref="A21:B21"/>
    <mergeCell ref="H21:I21"/>
    <mergeCell ref="H26:I26"/>
    <mergeCell ref="H33:I33"/>
    <mergeCell ref="H1:I1"/>
    <mergeCell ref="H2:I2"/>
    <mergeCell ref="P2:Q2"/>
    <mergeCell ref="A3:B3"/>
    <mergeCell ref="H3:I3"/>
    <mergeCell ref="H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A824-C1DF-45D8-9FD8-123AD1D91FDC}">
  <dimension ref="A1:AG96"/>
  <sheetViews>
    <sheetView topLeftCell="J1" zoomScale="70" zoomScaleNormal="70" workbookViewId="0">
      <selection activeCell="L47" sqref="L47:L48"/>
    </sheetView>
  </sheetViews>
  <sheetFormatPr defaultColWidth="8.6640625" defaultRowHeight="14.4" x14ac:dyDescent="0.3"/>
  <cols>
    <col min="1" max="1" width="8.6640625" style="2"/>
    <col min="2" max="2" width="24.5546875" style="2" customWidth="1"/>
    <col min="3" max="3" width="8.6640625" style="2"/>
    <col min="4" max="4" width="27" style="2" customWidth="1"/>
    <col min="5" max="5" width="18.33203125" style="2" customWidth="1"/>
    <col min="6" max="8" width="8.6640625" style="2"/>
    <col min="9" max="9" width="20.5546875" style="2" customWidth="1"/>
    <col min="10" max="10" width="21.33203125" style="2" customWidth="1"/>
    <col min="11" max="11" width="21.5546875" style="2" customWidth="1"/>
    <col min="12" max="12" width="21.44140625" style="2" customWidth="1"/>
    <col min="13" max="13" width="16.5546875" style="2" customWidth="1"/>
    <col min="14" max="15" width="8.6640625" style="2"/>
    <col min="16" max="16" width="7.44140625" style="2" bestFit="1" customWidth="1"/>
    <col min="17" max="17" width="25.5546875" style="2" customWidth="1"/>
    <col min="18" max="18" width="8.6640625" style="2"/>
    <col min="19" max="19" width="24.5546875" style="2" customWidth="1"/>
    <col min="20" max="20" width="16.88671875" style="2" customWidth="1"/>
    <col min="21" max="22" width="8.6640625" style="2"/>
    <col min="23" max="23" width="8.6640625" style="4"/>
    <col min="24" max="24" width="8.6640625" style="2"/>
    <col min="25" max="26" width="48.88671875" style="74" customWidth="1"/>
    <col min="27" max="28" width="21.5546875" style="2" customWidth="1"/>
    <col min="29" max="29" width="13.109375" style="2" bestFit="1" customWidth="1"/>
    <col min="30" max="31" width="13.109375" style="2" customWidth="1"/>
    <col min="32" max="32" width="8.6640625" style="2"/>
    <col min="33" max="33" width="20.5546875" style="2" bestFit="1" customWidth="1"/>
    <col min="34" max="16384" width="8.6640625" style="2"/>
  </cols>
  <sheetData>
    <row r="1" spans="1:33" ht="18" thickBot="1" x14ac:dyDescent="0.35">
      <c r="H1" s="3"/>
      <c r="I1" s="3"/>
      <c r="Y1" s="5" t="s">
        <v>57</v>
      </c>
      <c r="Z1" s="5"/>
      <c r="AA1" s="6" t="str">
        <f>MID(Y1,12,9)</f>
        <v>H</v>
      </c>
      <c r="AB1" s="6"/>
      <c r="AC1" s="6" t="s">
        <v>177</v>
      </c>
      <c r="AD1" s="6"/>
      <c r="AE1" s="6"/>
      <c r="AG1" s="75"/>
    </row>
    <row r="2" spans="1:33" ht="18" thickBot="1" x14ac:dyDescent="0.35">
      <c r="H2" s="7"/>
      <c r="I2" s="7"/>
      <c r="J2" s="8"/>
      <c r="K2" s="8"/>
      <c r="P2" s="9" t="s">
        <v>178</v>
      </c>
      <c r="Q2" s="10"/>
      <c r="X2" s="2">
        <v>1</v>
      </c>
      <c r="Y2"/>
      <c r="Z2" s="43"/>
      <c r="AA2" s="6" t="str">
        <f t="shared" ref="AA2:AA37" si="0">MID(Y2,12,4)</f>
        <v/>
      </c>
      <c r="AB2" s="6" t="str">
        <f t="shared" ref="AB2:AB21" si="1">MID(Y2,21,4)</f>
        <v/>
      </c>
      <c r="AC2" s="6" t="str">
        <f t="shared" ref="AC2:AC37" si="2">MID(Y2,29,13)</f>
        <v/>
      </c>
      <c r="AD2" s="2" t="str">
        <f>VLOOKUP(AC2,'LABELS BMO'!Z:AE,6,FALSE)</f>
        <v/>
      </c>
      <c r="AF2" s="2">
        <v>1</v>
      </c>
      <c r="AG2" s="76" t="str">
        <f t="shared" ref="AG2:AG19" si="3">CONCATENATE(AA2,AB2,AD2,"_",AC2)</f>
        <v>_</v>
      </c>
    </row>
    <row r="3" spans="1:33" ht="18.600000000000001" thickBot="1" x14ac:dyDescent="0.35">
      <c r="A3" s="9" t="s">
        <v>179</v>
      </c>
      <c r="B3" s="10"/>
      <c r="H3" s="9" t="s">
        <v>180</v>
      </c>
      <c r="I3" s="10"/>
      <c r="P3" s="12" t="s">
        <v>158</v>
      </c>
      <c r="Q3" s="13" t="s">
        <v>159</v>
      </c>
      <c r="R3" s="14" t="s">
        <v>158</v>
      </c>
      <c r="S3" s="13" t="s">
        <v>160</v>
      </c>
      <c r="T3" s="15" t="s">
        <v>161</v>
      </c>
      <c r="X3" s="2">
        <v>2</v>
      </c>
      <c r="Y3"/>
      <c r="Z3" s="43"/>
      <c r="AA3" s="6" t="str">
        <f t="shared" si="0"/>
        <v/>
      </c>
      <c r="AB3" s="6" t="str">
        <f t="shared" si="1"/>
        <v/>
      </c>
      <c r="AC3" s="6" t="str">
        <f t="shared" si="2"/>
        <v/>
      </c>
      <c r="AD3" s="2" t="str">
        <f>VLOOKUP(AC3,'LABELS BMO'!Z:AE,6,FALSE)</f>
        <v/>
      </c>
      <c r="AE3" s="6"/>
      <c r="AF3" s="2">
        <v>2</v>
      </c>
      <c r="AG3" s="76" t="str">
        <f t="shared" si="3"/>
        <v>_</v>
      </c>
    </row>
    <row r="4" spans="1:33" ht="18" x14ac:dyDescent="0.3">
      <c r="A4" s="12" t="s">
        <v>158</v>
      </c>
      <c r="B4" s="13" t="s">
        <v>162</v>
      </c>
      <c r="C4" s="14" t="s">
        <v>158</v>
      </c>
      <c r="D4" s="13" t="s">
        <v>163</v>
      </c>
      <c r="E4" s="15" t="s">
        <v>161</v>
      </c>
      <c r="H4" s="12" t="s">
        <v>158</v>
      </c>
      <c r="I4" s="13" t="s">
        <v>159</v>
      </c>
      <c r="J4" s="13" t="s">
        <v>160</v>
      </c>
      <c r="K4" s="13" t="s">
        <v>164</v>
      </c>
      <c r="L4" s="13" t="s">
        <v>165</v>
      </c>
      <c r="M4" s="15" t="s">
        <v>161</v>
      </c>
      <c r="P4" s="16">
        <v>1</v>
      </c>
      <c r="Q4" s="17">
        <v>1</v>
      </c>
      <c r="R4" s="18">
        <v>25</v>
      </c>
      <c r="S4" s="19">
        <v>2</v>
      </c>
      <c r="T4" s="20" t="s">
        <v>166</v>
      </c>
      <c r="X4" s="2">
        <v>3</v>
      </c>
      <c r="Y4"/>
      <c r="Z4" s="43"/>
      <c r="AA4" s="6" t="str">
        <f t="shared" si="0"/>
        <v/>
      </c>
      <c r="AB4" s="6" t="str">
        <f t="shared" si="1"/>
        <v/>
      </c>
      <c r="AC4" s="6" t="str">
        <f t="shared" si="2"/>
        <v/>
      </c>
      <c r="AD4" s="2" t="str">
        <f>VLOOKUP(AC4,'LABELS BMO'!Z:AE,6,FALSE)</f>
        <v/>
      </c>
      <c r="AE4" s="6"/>
      <c r="AF4" s="2">
        <v>3</v>
      </c>
      <c r="AG4" s="76" t="str">
        <f t="shared" si="3"/>
        <v>_</v>
      </c>
    </row>
    <row r="5" spans="1:33" ht="18" x14ac:dyDescent="0.3">
      <c r="A5" s="16">
        <v>1</v>
      </c>
      <c r="B5" s="17">
        <v>1</v>
      </c>
      <c r="C5" s="18">
        <v>1</v>
      </c>
      <c r="D5" s="19">
        <v>2</v>
      </c>
      <c r="E5" s="20" t="s">
        <v>166</v>
      </c>
      <c r="H5" s="21">
        <v>1</v>
      </c>
      <c r="I5" s="22"/>
      <c r="J5" s="23"/>
      <c r="K5" s="24"/>
      <c r="L5" s="25"/>
      <c r="M5" s="20" t="s">
        <v>166</v>
      </c>
      <c r="P5" s="16">
        <v>2</v>
      </c>
      <c r="Q5" s="26">
        <v>3</v>
      </c>
      <c r="R5" s="18">
        <v>26</v>
      </c>
      <c r="S5" s="27">
        <v>4</v>
      </c>
      <c r="T5" s="28"/>
      <c r="X5" s="2">
        <v>4</v>
      </c>
      <c r="Y5" s="43"/>
      <c r="Z5" s="43"/>
      <c r="AA5" s="6" t="str">
        <f t="shared" si="0"/>
        <v/>
      </c>
      <c r="AB5" s="6" t="str">
        <f t="shared" si="1"/>
        <v/>
      </c>
      <c r="AC5" s="6" t="str">
        <f t="shared" si="2"/>
        <v/>
      </c>
      <c r="AD5" s="2" t="str">
        <f>VLOOKUP(AC5,'LABELS BMO'!Z:AE,6,FALSE)</f>
        <v/>
      </c>
      <c r="AE5" s="6"/>
      <c r="AF5" s="2">
        <v>4</v>
      </c>
      <c r="AG5" s="76" t="str">
        <f t="shared" si="3"/>
        <v>_</v>
      </c>
    </row>
    <row r="6" spans="1:33" ht="18" x14ac:dyDescent="0.3">
      <c r="A6" s="16">
        <v>2</v>
      </c>
      <c r="B6" s="26">
        <v>3</v>
      </c>
      <c r="C6" s="18">
        <v>2</v>
      </c>
      <c r="D6" s="27">
        <v>4</v>
      </c>
      <c r="E6" s="20"/>
      <c r="H6" s="21">
        <v>2</v>
      </c>
      <c r="I6" s="77" t="str">
        <f>AG2</f>
        <v>_</v>
      </c>
      <c r="J6" s="77" t="str">
        <f>AG3</f>
        <v>_</v>
      </c>
      <c r="K6" s="77" t="str">
        <f>AG4</f>
        <v>_</v>
      </c>
      <c r="L6" s="77" t="str">
        <f>AG5</f>
        <v>_</v>
      </c>
      <c r="M6" s="78"/>
      <c r="P6" s="16">
        <v>3</v>
      </c>
      <c r="Q6" s="79" t="str">
        <f>$AG$2</f>
        <v>_</v>
      </c>
      <c r="R6" s="80">
        <v>27</v>
      </c>
      <c r="S6" s="79" t="str">
        <f>$AG$3</f>
        <v>_</v>
      </c>
      <c r="T6" s="28"/>
      <c r="X6" s="2">
        <v>5</v>
      </c>
      <c r="Y6" s="81"/>
      <c r="Z6" s="81"/>
      <c r="AA6" s="6" t="str">
        <f t="shared" si="0"/>
        <v/>
      </c>
      <c r="AB6" s="6" t="str">
        <f t="shared" si="1"/>
        <v/>
      </c>
      <c r="AC6" s="6" t="str">
        <f t="shared" si="2"/>
        <v/>
      </c>
      <c r="AD6" s="2" t="str">
        <f>VLOOKUP(AC6,'LABELS BMO'!Z:AE,6,FALSE)</f>
        <v/>
      </c>
      <c r="AE6" s="6"/>
      <c r="AF6" s="2">
        <v>5</v>
      </c>
      <c r="AG6" s="76" t="str">
        <f t="shared" si="3"/>
        <v>_</v>
      </c>
    </row>
    <row r="7" spans="1:33" ht="18" x14ac:dyDescent="0.3">
      <c r="A7" s="16">
        <v>3</v>
      </c>
      <c r="B7" s="82" t="str">
        <f>AG2</f>
        <v>_</v>
      </c>
      <c r="C7" s="80">
        <v>3</v>
      </c>
      <c r="D7" s="82" t="str">
        <f>AG3</f>
        <v>_</v>
      </c>
      <c r="E7" s="28"/>
      <c r="H7" s="21">
        <v>3</v>
      </c>
      <c r="I7" s="77" t="str">
        <f>AG6</f>
        <v>_</v>
      </c>
      <c r="J7" s="77" t="str">
        <f>AG7</f>
        <v>_</v>
      </c>
      <c r="K7" s="77" t="str">
        <f>AG8</f>
        <v>_</v>
      </c>
      <c r="L7" s="77" t="str">
        <f>AG9</f>
        <v>_</v>
      </c>
      <c r="M7" s="78"/>
      <c r="P7" s="16">
        <v>4</v>
      </c>
      <c r="Q7" s="79" t="str">
        <f>$AG$4</f>
        <v>_</v>
      </c>
      <c r="R7" s="80">
        <v>28</v>
      </c>
      <c r="S7" s="79" t="str">
        <f>$AG$5</f>
        <v>_</v>
      </c>
      <c r="T7" s="28"/>
      <c r="X7" s="2">
        <v>6</v>
      </c>
      <c r="Y7" s="81"/>
      <c r="Z7" s="81"/>
      <c r="AA7" s="6" t="str">
        <f t="shared" si="0"/>
        <v/>
      </c>
      <c r="AB7" s="6" t="str">
        <f t="shared" si="1"/>
        <v/>
      </c>
      <c r="AC7" s="6" t="str">
        <f t="shared" si="2"/>
        <v/>
      </c>
      <c r="AD7" s="2" t="str">
        <f>VLOOKUP(AC7,'LABELS BMO'!Z:AE,6,FALSE)</f>
        <v/>
      </c>
      <c r="AE7" s="6"/>
      <c r="AF7" s="2">
        <v>6</v>
      </c>
      <c r="AG7" s="76" t="str">
        <f t="shared" si="3"/>
        <v>_</v>
      </c>
    </row>
    <row r="8" spans="1:33" ht="18" x14ac:dyDescent="0.3">
      <c r="A8" s="16">
        <v>4</v>
      </c>
      <c r="B8" s="82" t="str">
        <f>AG4</f>
        <v>_</v>
      </c>
      <c r="C8" s="80">
        <v>4</v>
      </c>
      <c r="D8" s="82" t="str">
        <f>AG5</f>
        <v>_</v>
      </c>
      <c r="E8" s="28"/>
      <c r="H8" s="21">
        <v>4</v>
      </c>
      <c r="I8" s="77" t="str">
        <f>AG10</f>
        <v>_</v>
      </c>
      <c r="J8" s="77" t="str">
        <f>AG11</f>
        <v>_</v>
      </c>
      <c r="K8" s="77" t="str">
        <f>AG12</f>
        <v>_</v>
      </c>
      <c r="L8" s="77" t="str">
        <f>AG13</f>
        <v>_</v>
      </c>
      <c r="M8" s="78"/>
      <c r="P8" s="16">
        <v>5</v>
      </c>
      <c r="Q8" s="79" t="str">
        <f>$AG$6</f>
        <v>_</v>
      </c>
      <c r="R8" s="80">
        <v>29</v>
      </c>
      <c r="S8" s="79" t="str">
        <f>$AG$7</f>
        <v>_</v>
      </c>
      <c r="T8" s="28"/>
      <c r="X8" s="2">
        <v>7</v>
      </c>
      <c r="Y8" s="81"/>
      <c r="Z8" s="81"/>
      <c r="AA8" s="6" t="str">
        <f t="shared" si="0"/>
        <v/>
      </c>
      <c r="AB8" s="6" t="str">
        <f t="shared" si="1"/>
        <v/>
      </c>
      <c r="AC8" s="6" t="str">
        <f t="shared" si="2"/>
        <v/>
      </c>
      <c r="AD8" s="2" t="str">
        <f>VLOOKUP(AC8,'LABELS BMO'!Z:AE,6,FALSE)</f>
        <v/>
      </c>
      <c r="AE8" s="6"/>
      <c r="AF8" s="2">
        <v>7</v>
      </c>
      <c r="AG8" s="76" t="str">
        <f t="shared" si="3"/>
        <v>_</v>
      </c>
    </row>
    <row r="9" spans="1:33" ht="18" x14ac:dyDescent="0.3">
      <c r="A9" s="16">
        <v>5</v>
      </c>
      <c r="B9" s="82" t="str">
        <f>AG6</f>
        <v>_</v>
      </c>
      <c r="C9" s="80">
        <v>5</v>
      </c>
      <c r="D9" s="82" t="str">
        <f>AG7</f>
        <v>_</v>
      </c>
      <c r="E9" s="28"/>
      <c r="H9" s="21">
        <v>5</v>
      </c>
      <c r="I9" s="77" t="str">
        <f>AG14</f>
        <v>_</v>
      </c>
      <c r="J9" s="77" t="str">
        <f>AG15</f>
        <v>_</v>
      </c>
      <c r="K9" s="77" t="str">
        <f>AG16</f>
        <v>_</v>
      </c>
      <c r="L9" s="77" t="str">
        <f>AG17</f>
        <v>_</v>
      </c>
      <c r="M9" s="78"/>
      <c r="P9" s="16">
        <v>6</v>
      </c>
      <c r="Q9" s="79" t="str">
        <f>$AG$8</f>
        <v>_</v>
      </c>
      <c r="R9" s="80">
        <v>30</v>
      </c>
      <c r="S9" s="79" t="str">
        <f>$AG$9</f>
        <v>_</v>
      </c>
      <c r="T9" s="28"/>
      <c r="X9" s="2">
        <v>8</v>
      </c>
      <c r="Y9" s="81"/>
      <c r="Z9" s="81"/>
      <c r="AA9" s="6" t="str">
        <f t="shared" si="0"/>
        <v/>
      </c>
      <c r="AB9" s="6" t="str">
        <f t="shared" si="1"/>
        <v/>
      </c>
      <c r="AC9" s="6" t="str">
        <f t="shared" si="2"/>
        <v/>
      </c>
      <c r="AD9" s="2" t="str">
        <f>VLOOKUP(AC9,'LABELS BMO'!Z:AE,6,FALSE)</f>
        <v/>
      </c>
      <c r="AE9" s="6"/>
      <c r="AF9" s="2">
        <v>8</v>
      </c>
      <c r="AG9" s="76" t="str">
        <f t="shared" si="3"/>
        <v>_</v>
      </c>
    </row>
    <row r="10" spans="1:33" ht="18" x14ac:dyDescent="0.3">
      <c r="A10" s="16">
        <v>6</v>
      </c>
      <c r="B10" s="82" t="str">
        <f>AG8</f>
        <v>_</v>
      </c>
      <c r="C10" s="80">
        <v>6</v>
      </c>
      <c r="D10" s="82" t="str">
        <f>AG9</f>
        <v>_</v>
      </c>
      <c r="E10" s="28"/>
      <c r="H10" s="21">
        <v>6</v>
      </c>
      <c r="I10" s="77" t="str">
        <f>AG18</f>
        <v>_</v>
      </c>
      <c r="J10" s="77" t="str">
        <f>AG19</f>
        <v>_</v>
      </c>
      <c r="K10" s="77" t="str">
        <f>AG20</f>
        <v/>
      </c>
      <c r="L10" s="77" t="str">
        <f>AG21</f>
        <v/>
      </c>
      <c r="M10" s="78"/>
      <c r="P10" s="16">
        <v>7</v>
      </c>
      <c r="Q10" s="79" t="str">
        <f>$AG$10</f>
        <v>_</v>
      </c>
      <c r="R10" s="80">
        <v>31</v>
      </c>
      <c r="S10" s="79" t="str">
        <f>$AG$11</f>
        <v>_</v>
      </c>
      <c r="T10" s="28"/>
      <c r="X10" s="2">
        <v>9</v>
      </c>
      <c r="Y10" s="83"/>
      <c r="Z10" s="83"/>
      <c r="AA10" s="6" t="str">
        <f t="shared" si="0"/>
        <v/>
      </c>
      <c r="AB10" s="6" t="str">
        <f t="shared" si="1"/>
        <v/>
      </c>
      <c r="AC10" s="6" t="str">
        <f t="shared" si="2"/>
        <v/>
      </c>
      <c r="AD10" s="2" t="str">
        <f>VLOOKUP(AC10,'LABELS BMO'!Z:AE,6,FALSE)</f>
        <v/>
      </c>
      <c r="AE10" s="6"/>
      <c r="AF10" s="2">
        <v>9</v>
      </c>
      <c r="AG10" s="76" t="str">
        <f t="shared" si="3"/>
        <v>_</v>
      </c>
    </row>
    <row r="11" spans="1:33" ht="18" x14ac:dyDescent="0.3">
      <c r="A11" s="34">
        <v>7</v>
      </c>
      <c r="B11" s="35" t="s">
        <v>167</v>
      </c>
      <c r="C11" s="36">
        <v>7</v>
      </c>
      <c r="D11" s="35" t="s">
        <v>167</v>
      </c>
      <c r="E11" s="37" t="s">
        <v>168</v>
      </c>
      <c r="H11" s="16">
        <v>7</v>
      </c>
      <c r="I11" s="29" t="str">
        <f>AG22</f>
        <v/>
      </c>
      <c r="J11" s="29" t="str">
        <f>AG23</f>
        <v/>
      </c>
      <c r="K11" s="29" t="str">
        <f>AG24</f>
        <v/>
      </c>
      <c r="L11" s="29" t="str">
        <f>AG25</f>
        <v/>
      </c>
      <c r="M11" s="30"/>
      <c r="P11" s="16">
        <v>8</v>
      </c>
      <c r="Q11" s="79" t="str">
        <f>$AG$12</f>
        <v>_</v>
      </c>
      <c r="R11" s="80">
        <v>32</v>
      </c>
      <c r="S11" s="79" t="str">
        <f>$AG$13</f>
        <v>_</v>
      </c>
      <c r="T11" s="28"/>
      <c r="X11" s="2">
        <v>10</v>
      </c>
      <c r="Y11" s="83"/>
      <c r="Z11" s="83"/>
      <c r="AA11" s="6" t="str">
        <f t="shared" si="0"/>
        <v/>
      </c>
      <c r="AB11" s="6" t="str">
        <f t="shared" si="1"/>
        <v/>
      </c>
      <c r="AC11" s="6" t="str">
        <f t="shared" si="2"/>
        <v/>
      </c>
      <c r="AD11" s="2" t="str">
        <f>VLOOKUP(AC11,'LABELS BMO'!Z:AE,6,FALSE)</f>
        <v/>
      </c>
      <c r="AE11" s="6"/>
      <c r="AF11" s="2">
        <v>10</v>
      </c>
      <c r="AG11" s="76" t="str">
        <f t="shared" si="3"/>
        <v>_</v>
      </c>
    </row>
    <row r="12" spans="1:33" ht="18.600000000000001" thickBot="1" x14ac:dyDescent="0.35">
      <c r="A12" s="38">
        <v>8</v>
      </c>
      <c r="B12" s="39" t="s">
        <v>167</v>
      </c>
      <c r="C12" s="40">
        <v>8</v>
      </c>
      <c r="D12" s="39" t="s">
        <v>167</v>
      </c>
      <c r="E12" s="41" t="s">
        <v>168</v>
      </c>
      <c r="H12" s="16">
        <v>8</v>
      </c>
      <c r="I12" s="42" t="str">
        <f>AG26</f>
        <v/>
      </c>
      <c r="J12" s="42" t="str">
        <f>AG27</f>
        <v/>
      </c>
      <c r="K12" s="42" t="str">
        <f>AG28</f>
        <v/>
      </c>
      <c r="L12" s="42" t="str">
        <f>AG29</f>
        <v/>
      </c>
      <c r="M12" s="30"/>
      <c r="P12" s="16">
        <v>9</v>
      </c>
      <c r="Q12" s="79" t="str">
        <f>$AG$14</f>
        <v>_</v>
      </c>
      <c r="R12" s="80">
        <v>33</v>
      </c>
      <c r="S12" s="79" t="str">
        <f>$AG$15</f>
        <v>_</v>
      </c>
      <c r="T12" s="28"/>
      <c r="X12" s="2">
        <v>11</v>
      </c>
      <c r="Y12" s="83"/>
      <c r="Z12" s="83"/>
      <c r="AA12" s="6" t="str">
        <f t="shared" si="0"/>
        <v/>
      </c>
      <c r="AB12" s="6" t="str">
        <f t="shared" si="1"/>
        <v/>
      </c>
      <c r="AC12" s="6" t="str">
        <f t="shared" si="2"/>
        <v/>
      </c>
      <c r="AD12" s="2" t="str">
        <f>VLOOKUP(AC12,'LABELS BMO'!Z:AE,6,FALSE)</f>
        <v/>
      </c>
      <c r="AE12" s="6"/>
      <c r="AF12" s="2">
        <v>11</v>
      </c>
      <c r="AG12" s="76" t="str">
        <f t="shared" si="3"/>
        <v>_</v>
      </c>
    </row>
    <row r="13" spans="1:33" ht="18.600000000000001" thickBot="1" x14ac:dyDescent="0.35">
      <c r="H13" s="44">
        <v>9</v>
      </c>
      <c r="I13" s="45" t="str">
        <f>AG30</f>
        <v/>
      </c>
      <c r="J13" s="45" t="str">
        <f>AG31</f>
        <v/>
      </c>
      <c r="K13" s="45" t="str">
        <f>AG32</f>
        <v/>
      </c>
      <c r="L13" s="45" t="str">
        <f>AG33</f>
        <v/>
      </c>
      <c r="M13" s="46"/>
      <c r="P13" s="16">
        <v>10</v>
      </c>
      <c r="Q13" s="79" t="str">
        <f>$AG$16</f>
        <v>_</v>
      </c>
      <c r="R13" s="80">
        <v>34</v>
      </c>
      <c r="S13" s="79" t="str">
        <f>$AG$17</f>
        <v>_</v>
      </c>
      <c r="T13" s="28"/>
      <c r="X13" s="2">
        <v>12</v>
      </c>
      <c r="Y13" s="83"/>
      <c r="Z13" s="83"/>
      <c r="AA13" s="6" t="str">
        <f t="shared" si="0"/>
        <v/>
      </c>
      <c r="AB13" s="6" t="str">
        <f t="shared" si="1"/>
        <v/>
      </c>
      <c r="AC13" s="6" t="str">
        <f t="shared" si="2"/>
        <v/>
      </c>
      <c r="AD13" s="2" t="str">
        <f>VLOOKUP(AC13,'LABELS BMO'!Z:AE,6,FALSE)</f>
        <v/>
      </c>
      <c r="AE13" s="6"/>
      <c r="AF13" s="2">
        <v>12</v>
      </c>
      <c r="AG13" s="76" t="str">
        <f t="shared" si="3"/>
        <v>_</v>
      </c>
    </row>
    <row r="14" spans="1:33" ht="18" x14ac:dyDescent="0.3">
      <c r="P14" s="16">
        <v>11</v>
      </c>
      <c r="Q14" s="79" t="str">
        <f>$AG$18</f>
        <v>_</v>
      </c>
      <c r="R14" s="80">
        <v>35</v>
      </c>
      <c r="S14" s="79" t="str">
        <f>$AG$19</f>
        <v>_</v>
      </c>
      <c r="T14" s="28"/>
      <c r="X14" s="2">
        <v>13</v>
      </c>
      <c r="Y14" s="84"/>
      <c r="Z14" s="84"/>
      <c r="AA14" s="6" t="str">
        <f t="shared" si="0"/>
        <v/>
      </c>
      <c r="AB14" s="6" t="str">
        <f t="shared" si="1"/>
        <v/>
      </c>
      <c r="AC14" s="6" t="str">
        <f t="shared" si="2"/>
        <v/>
      </c>
      <c r="AD14" s="2" t="str">
        <f>VLOOKUP(AC14,'LABELS BMO'!Z:AE,6,FALSE)</f>
        <v/>
      </c>
      <c r="AE14" s="6"/>
      <c r="AF14" s="2">
        <v>13</v>
      </c>
      <c r="AG14" s="76" t="str">
        <f t="shared" si="3"/>
        <v>_</v>
      </c>
    </row>
    <row r="15" spans="1:33" ht="18.600000000000001" thickBot="1" x14ac:dyDescent="0.35">
      <c r="H15" s="47" t="s">
        <v>169</v>
      </c>
      <c r="I15" s="48"/>
      <c r="P15" s="16">
        <v>12</v>
      </c>
      <c r="Q15" s="31" t="str">
        <f>$AG$20</f>
        <v/>
      </c>
      <c r="R15" s="18">
        <v>36</v>
      </c>
      <c r="S15" s="31" t="str">
        <f>$AG$21</f>
        <v/>
      </c>
      <c r="T15" s="28"/>
      <c r="X15" s="2">
        <v>14</v>
      </c>
      <c r="Y15" s="84"/>
      <c r="Z15" s="84"/>
      <c r="AA15" s="6" t="str">
        <f t="shared" si="0"/>
        <v/>
      </c>
      <c r="AB15" s="6" t="str">
        <f t="shared" si="1"/>
        <v/>
      </c>
      <c r="AC15" s="6" t="str">
        <f t="shared" si="2"/>
        <v/>
      </c>
      <c r="AD15" s="2" t="str">
        <f>VLOOKUP(AC15,'LABELS BMO'!Z:AE,6,FALSE)</f>
        <v/>
      </c>
      <c r="AE15" s="6"/>
      <c r="AF15" s="2">
        <v>14</v>
      </c>
      <c r="AG15" s="76" t="str">
        <f t="shared" si="3"/>
        <v>_</v>
      </c>
    </row>
    <row r="16" spans="1:33" ht="18" x14ac:dyDescent="0.3">
      <c r="H16" s="12" t="s">
        <v>158</v>
      </c>
      <c r="I16" s="13" t="s">
        <v>159</v>
      </c>
      <c r="J16" s="13" t="s">
        <v>160</v>
      </c>
      <c r="K16" s="15" t="s">
        <v>161</v>
      </c>
      <c r="P16" s="49">
        <v>13</v>
      </c>
      <c r="Q16" s="85" t="str">
        <f>$AG$22</f>
        <v/>
      </c>
      <c r="R16" s="86">
        <v>37</v>
      </c>
      <c r="S16" s="85" t="str">
        <f>$AG$23</f>
        <v/>
      </c>
      <c r="T16" s="50"/>
      <c r="X16" s="2">
        <v>15</v>
      </c>
      <c r="Y16" s="84"/>
      <c r="Z16" s="84"/>
      <c r="AA16" s="6" t="str">
        <f t="shared" si="0"/>
        <v/>
      </c>
      <c r="AB16" s="6" t="str">
        <f t="shared" si="1"/>
        <v/>
      </c>
      <c r="AC16" s="6" t="str">
        <f t="shared" si="2"/>
        <v/>
      </c>
      <c r="AD16" s="2" t="str">
        <f>VLOOKUP(AC16,'LABELS BMO'!Z:AE,6,FALSE)</f>
        <v/>
      </c>
      <c r="AE16" s="6"/>
      <c r="AF16" s="2">
        <v>15</v>
      </c>
      <c r="AG16" s="76" t="str">
        <f t="shared" si="3"/>
        <v>_</v>
      </c>
    </row>
    <row r="17" spans="1:33" ht="18" x14ac:dyDescent="0.3">
      <c r="H17" s="16">
        <v>1</v>
      </c>
      <c r="I17" s="27"/>
      <c r="J17" s="27"/>
      <c r="K17" s="51"/>
      <c r="P17" s="49">
        <v>14</v>
      </c>
      <c r="Q17" s="85" t="str">
        <f>$AG$24</f>
        <v/>
      </c>
      <c r="R17" s="86">
        <v>38</v>
      </c>
      <c r="S17" s="85" t="str">
        <f>$AG$25</f>
        <v/>
      </c>
      <c r="T17" s="50"/>
      <c r="X17" s="2">
        <v>16</v>
      </c>
      <c r="Y17" s="84"/>
      <c r="Z17" s="84"/>
      <c r="AA17" s="6" t="str">
        <f t="shared" si="0"/>
        <v/>
      </c>
      <c r="AB17" s="6" t="str">
        <f t="shared" si="1"/>
        <v/>
      </c>
      <c r="AC17" s="6" t="str">
        <f t="shared" si="2"/>
        <v/>
      </c>
      <c r="AD17" s="2" t="str">
        <f>VLOOKUP(AC17,'LABELS BMO'!Z:AE,6,FALSE)</f>
        <v/>
      </c>
      <c r="AE17" s="6"/>
      <c r="AF17" s="2">
        <v>16</v>
      </c>
      <c r="AG17" s="76" t="str">
        <f t="shared" si="3"/>
        <v>_</v>
      </c>
    </row>
    <row r="18" spans="1:33" ht="18.600000000000001" thickBot="1" x14ac:dyDescent="0.35">
      <c r="H18" s="44">
        <v>2</v>
      </c>
      <c r="I18" s="52" t="str">
        <f>AG2</f>
        <v>_</v>
      </c>
      <c r="J18" s="53" t="str">
        <f>AG3</f>
        <v>_</v>
      </c>
      <c r="K18" s="54"/>
      <c r="P18" s="49">
        <v>15</v>
      </c>
      <c r="Q18" s="85" t="str">
        <f>$AG$26</f>
        <v/>
      </c>
      <c r="R18" s="86">
        <v>39</v>
      </c>
      <c r="S18" s="85" t="str">
        <f>$AG$27</f>
        <v/>
      </c>
      <c r="T18" s="50"/>
      <c r="X18" s="2">
        <v>17</v>
      </c>
      <c r="Y18" s="87"/>
      <c r="Z18" s="87"/>
      <c r="AA18" s="6" t="str">
        <f t="shared" si="0"/>
        <v/>
      </c>
      <c r="AB18" s="6" t="str">
        <f t="shared" si="1"/>
        <v/>
      </c>
      <c r="AC18" s="6" t="str">
        <f t="shared" si="2"/>
        <v/>
      </c>
      <c r="AD18" s="2" t="str">
        <f>VLOOKUP(AC18,'LABELS BMO'!Z:AE,6,FALSE)</f>
        <v/>
      </c>
      <c r="AE18" s="6"/>
      <c r="AF18" s="2">
        <v>17</v>
      </c>
      <c r="AG18" s="76" t="str">
        <f t="shared" si="3"/>
        <v>_</v>
      </c>
    </row>
    <row r="19" spans="1:33" ht="18" x14ac:dyDescent="0.3">
      <c r="P19" s="49">
        <v>16</v>
      </c>
      <c r="Q19" s="85" t="str">
        <f>$AG$28</f>
        <v/>
      </c>
      <c r="R19" s="86">
        <v>40</v>
      </c>
      <c r="S19" s="85" t="str">
        <f>$AG$29</f>
        <v/>
      </c>
      <c r="T19" s="50"/>
      <c r="X19" s="2">
        <v>18</v>
      </c>
      <c r="Y19" s="87"/>
      <c r="Z19" s="87"/>
      <c r="AA19" s="6" t="str">
        <f t="shared" si="0"/>
        <v/>
      </c>
      <c r="AB19" s="6" t="str">
        <f t="shared" si="1"/>
        <v/>
      </c>
      <c r="AC19" s="6" t="str">
        <f t="shared" si="2"/>
        <v/>
      </c>
      <c r="AD19" s="2" t="str">
        <f>VLOOKUP(AC19,'LABELS BMO'!Z:AE,6,FALSE)</f>
        <v/>
      </c>
      <c r="AE19" s="6"/>
      <c r="AF19" s="2">
        <v>18</v>
      </c>
      <c r="AG19" s="76" t="str">
        <f t="shared" si="3"/>
        <v>_</v>
      </c>
    </row>
    <row r="20" spans="1:33" ht="18.600000000000001" thickBot="1" x14ac:dyDescent="0.35">
      <c r="P20" s="49">
        <v>17</v>
      </c>
      <c r="Q20" s="85" t="str">
        <f>$AG$30</f>
        <v/>
      </c>
      <c r="R20" s="86">
        <v>41</v>
      </c>
      <c r="S20" s="85" t="str">
        <f>$AG$31</f>
        <v/>
      </c>
      <c r="T20" s="50"/>
      <c r="X20" s="2">
        <v>19</v>
      </c>
      <c r="Y20" s="43"/>
      <c r="Z20" s="43"/>
      <c r="AA20" s="6" t="str">
        <f t="shared" si="0"/>
        <v/>
      </c>
      <c r="AB20" s="6" t="str">
        <f t="shared" si="1"/>
        <v/>
      </c>
      <c r="AC20" s="6" t="str">
        <f t="shared" si="2"/>
        <v/>
      </c>
      <c r="AD20" s="6"/>
      <c r="AE20" s="6"/>
      <c r="AF20" s="2">
        <v>19</v>
      </c>
      <c r="AG20" s="11" t="str">
        <f t="shared" ref="AG20:AG37" si="4">CONCATENATE(AA20,AB20,AC20)</f>
        <v/>
      </c>
    </row>
    <row r="21" spans="1:33" ht="18.600000000000001" thickBot="1" x14ac:dyDescent="0.35">
      <c r="A21" s="55" t="s">
        <v>170</v>
      </c>
      <c r="B21" s="56"/>
      <c r="H21" s="9" t="s">
        <v>169</v>
      </c>
      <c r="I21" s="10"/>
      <c r="P21" s="49">
        <v>18</v>
      </c>
      <c r="Q21" s="85" t="str">
        <f>$AG$32</f>
        <v/>
      </c>
      <c r="R21" s="86">
        <v>42</v>
      </c>
      <c r="S21" s="85" t="str">
        <f>$AG$33</f>
        <v/>
      </c>
      <c r="T21" s="50"/>
      <c r="X21" s="2">
        <v>20</v>
      </c>
      <c r="Y21" s="43"/>
      <c r="Z21" s="43"/>
      <c r="AA21" s="6" t="str">
        <f t="shared" si="0"/>
        <v/>
      </c>
      <c r="AB21" s="6" t="str">
        <f t="shared" si="1"/>
        <v/>
      </c>
      <c r="AC21" s="6" t="str">
        <f t="shared" si="2"/>
        <v/>
      </c>
      <c r="AD21" s="6"/>
      <c r="AE21" s="6"/>
      <c r="AF21" s="2">
        <v>20</v>
      </c>
      <c r="AG21" s="11" t="str">
        <f t="shared" si="4"/>
        <v/>
      </c>
    </row>
    <row r="22" spans="1:33" ht="18" x14ac:dyDescent="0.3">
      <c r="A22" s="12" t="s">
        <v>158</v>
      </c>
      <c r="B22" s="13" t="s">
        <v>162</v>
      </c>
      <c r="C22" s="14" t="s">
        <v>158</v>
      </c>
      <c r="D22" s="13" t="s">
        <v>163</v>
      </c>
      <c r="E22" s="15" t="s">
        <v>161</v>
      </c>
      <c r="H22" s="57" t="s">
        <v>158</v>
      </c>
      <c r="I22" s="58">
        <v>1</v>
      </c>
      <c r="J22" s="58">
        <v>2</v>
      </c>
      <c r="K22" s="58">
        <v>3</v>
      </c>
      <c r="L22" s="58">
        <v>4</v>
      </c>
      <c r="M22" s="59" t="s">
        <v>161</v>
      </c>
      <c r="P22" s="66">
        <v>19</v>
      </c>
      <c r="Q22" s="67" t="str">
        <f>$AG$36</f>
        <v/>
      </c>
      <c r="R22" s="68">
        <v>43</v>
      </c>
      <c r="S22" s="67" t="str">
        <f>$AG$35</f>
        <v/>
      </c>
      <c r="T22" s="37" t="s">
        <v>168</v>
      </c>
      <c r="X22" s="2">
        <v>21</v>
      </c>
      <c r="Y22" s="43"/>
      <c r="Z22" s="43"/>
      <c r="AA22" s="6" t="str">
        <f t="shared" si="0"/>
        <v/>
      </c>
      <c r="AB22" s="6"/>
      <c r="AC22" s="6" t="str">
        <f t="shared" si="2"/>
        <v/>
      </c>
      <c r="AD22" s="6"/>
      <c r="AE22" s="6"/>
      <c r="AF22" s="2">
        <v>21</v>
      </c>
      <c r="AG22" s="11" t="str">
        <f t="shared" si="4"/>
        <v/>
      </c>
    </row>
    <row r="23" spans="1:33" ht="18.600000000000001" thickBot="1" x14ac:dyDescent="0.35">
      <c r="A23" s="16">
        <v>1</v>
      </c>
      <c r="B23" s="60"/>
      <c r="C23" s="61">
        <v>1</v>
      </c>
      <c r="D23" s="62"/>
      <c r="E23" s="20" t="s">
        <v>166</v>
      </c>
      <c r="H23" s="63">
        <v>1</v>
      </c>
      <c r="I23" s="64"/>
      <c r="J23" s="64"/>
      <c r="K23" s="64" t="str">
        <f>AG2</f>
        <v>_</v>
      </c>
      <c r="L23" s="64" t="str">
        <f>AG3</f>
        <v>_</v>
      </c>
      <c r="M23" s="65"/>
      <c r="P23" s="66">
        <v>20</v>
      </c>
      <c r="Q23" s="67" t="s">
        <v>167</v>
      </c>
      <c r="R23" s="68">
        <v>44</v>
      </c>
      <c r="S23" s="67" t="str">
        <f>$AG$37</f>
        <v/>
      </c>
      <c r="T23" s="37" t="s">
        <v>168</v>
      </c>
      <c r="X23" s="2">
        <v>22</v>
      </c>
      <c r="Y23" s="43"/>
      <c r="Z23" s="43"/>
      <c r="AA23" s="6" t="str">
        <f t="shared" si="0"/>
        <v/>
      </c>
      <c r="AB23" s="6" t="str">
        <f t="shared" ref="AB23:AB37" si="5">MID(Y23,21,4)</f>
        <v/>
      </c>
      <c r="AC23" s="6" t="str">
        <f t="shared" si="2"/>
        <v/>
      </c>
      <c r="AD23" s="6"/>
      <c r="AE23" s="6"/>
      <c r="AF23" s="2">
        <v>22</v>
      </c>
      <c r="AG23" s="11" t="str">
        <f t="shared" si="4"/>
        <v/>
      </c>
    </row>
    <row r="24" spans="1:33" ht="18" x14ac:dyDescent="0.3">
      <c r="A24" s="16">
        <v>2</v>
      </c>
      <c r="B24" s="60"/>
      <c r="C24" s="61">
        <v>2</v>
      </c>
      <c r="D24" s="60"/>
      <c r="E24" s="20"/>
      <c r="P24" s="66">
        <v>21</v>
      </c>
      <c r="Q24" s="67" t="s">
        <v>167</v>
      </c>
      <c r="R24" s="68">
        <v>45</v>
      </c>
      <c r="S24" s="67" t="s">
        <v>167</v>
      </c>
      <c r="T24" s="37" t="s">
        <v>168</v>
      </c>
      <c r="X24" s="2">
        <v>23</v>
      </c>
      <c r="Y24" s="43"/>
      <c r="Z24" s="43"/>
      <c r="AA24" s="6" t="str">
        <f t="shared" si="0"/>
        <v/>
      </c>
      <c r="AB24" s="6" t="str">
        <f t="shared" si="5"/>
        <v/>
      </c>
      <c r="AC24" s="6" t="str">
        <f t="shared" si="2"/>
        <v/>
      </c>
      <c r="AD24" s="6"/>
      <c r="AE24" s="6"/>
      <c r="AF24" s="2">
        <v>23</v>
      </c>
      <c r="AG24" s="11" t="str">
        <f t="shared" si="4"/>
        <v/>
      </c>
    </row>
    <row r="25" spans="1:33" ht="18.600000000000001" thickBot="1" x14ac:dyDescent="0.35">
      <c r="A25" s="16">
        <v>3</v>
      </c>
      <c r="B25" s="69"/>
      <c r="C25" s="61">
        <v>3</v>
      </c>
      <c r="D25" s="69"/>
      <c r="E25" s="28"/>
      <c r="P25" s="66">
        <v>22</v>
      </c>
      <c r="Q25" s="67" t="s">
        <v>167</v>
      </c>
      <c r="R25" s="68">
        <v>46</v>
      </c>
      <c r="S25" s="67" t="s">
        <v>167</v>
      </c>
      <c r="T25" s="37" t="s">
        <v>168</v>
      </c>
      <c r="X25" s="2">
        <v>24</v>
      </c>
      <c r="Y25" s="43"/>
      <c r="Z25" s="43"/>
      <c r="AA25" s="6" t="str">
        <f t="shared" si="0"/>
        <v/>
      </c>
      <c r="AB25" s="6" t="str">
        <f t="shared" si="5"/>
        <v/>
      </c>
      <c r="AC25" s="6" t="str">
        <f t="shared" si="2"/>
        <v/>
      </c>
      <c r="AD25" s="6"/>
      <c r="AE25" s="6"/>
      <c r="AF25" s="2">
        <v>24</v>
      </c>
      <c r="AG25" s="11" t="str">
        <f t="shared" si="4"/>
        <v/>
      </c>
    </row>
    <row r="26" spans="1:33" ht="18.600000000000001" thickBot="1" x14ac:dyDescent="0.35">
      <c r="A26" s="16">
        <v>4</v>
      </c>
      <c r="B26" s="69"/>
      <c r="C26" s="61">
        <v>4</v>
      </c>
      <c r="D26" s="69"/>
      <c r="E26" s="28"/>
      <c r="H26" s="9" t="s">
        <v>171</v>
      </c>
      <c r="I26" s="10"/>
      <c r="P26" s="66">
        <v>23</v>
      </c>
      <c r="Q26" s="67" t="s">
        <v>167</v>
      </c>
      <c r="R26" s="68">
        <v>47</v>
      </c>
      <c r="S26" s="67" t="s">
        <v>167</v>
      </c>
      <c r="T26" s="37" t="s">
        <v>168</v>
      </c>
      <c r="X26" s="2">
        <v>25</v>
      </c>
      <c r="Y26" s="43"/>
      <c r="Z26" s="43"/>
      <c r="AA26" s="6" t="str">
        <f t="shared" si="0"/>
        <v/>
      </c>
      <c r="AB26" s="6" t="str">
        <f t="shared" si="5"/>
        <v/>
      </c>
      <c r="AC26" s="6" t="str">
        <f t="shared" si="2"/>
        <v/>
      </c>
      <c r="AD26" s="6"/>
      <c r="AE26" s="6"/>
      <c r="AF26" s="2">
        <v>25</v>
      </c>
      <c r="AG26" s="11" t="str">
        <f t="shared" si="4"/>
        <v/>
      </c>
    </row>
    <row r="27" spans="1:33" ht="18.600000000000001" thickBot="1" x14ac:dyDescent="0.35">
      <c r="A27" s="16">
        <v>5</v>
      </c>
      <c r="B27" s="69"/>
      <c r="C27" s="61">
        <v>5</v>
      </c>
      <c r="D27" s="69"/>
      <c r="E27" s="28"/>
      <c r="H27" s="57" t="s">
        <v>158</v>
      </c>
      <c r="I27" s="58">
        <v>1</v>
      </c>
      <c r="J27" s="58">
        <v>2</v>
      </c>
      <c r="K27" s="58">
        <v>3</v>
      </c>
      <c r="L27" s="58">
        <v>4</v>
      </c>
      <c r="M27" s="59" t="s">
        <v>161</v>
      </c>
      <c r="P27" s="70">
        <v>24</v>
      </c>
      <c r="Q27" s="71" t="s">
        <v>167</v>
      </c>
      <c r="R27" s="72">
        <v>48</v>
      </c>
      <c r="S27" s="71" t="s">
        <v>167</v>
      </c>
      <c r="T27" s="73" t="s">
        <v>168</v>
      </c>
      <c r="X27" s="2">
        <v>26</v>
      </c>
      <c r="AA27" s="6" t="str">
        <f t="shared" si="0"/>
        <v/>
      </c>
      <c r="AB27" s="6" t="str">
        <f t="shared" si="5"/>
        <v/>
      </c>
      <c r="AC27" s="6" t="str">
        <f t="shared" si="2"/>
        <v/>
      </c>
      <c r="AD27" s="6"/>
      <c r="AE27" s="6"/>
      <c r="AF27" s="2">
        <v>26</v>
      </c>
      <c r="AG27" s="11" t="str">
        <f t="shared" si="4"/>
        <v/>
      </c>
    </row>
    <row r="28" spans="1:33" ht="18.600000000000001" thickBot="1" x14ac:dyDescent="0.35">
      <c r="A28" s="16">
        <v>6</v>
      </c>
      <c r="B28" s="69"/>
      <c r="C28" s="61">
        <v>6</v>
      </c>
      <c r="D28" s="69"/>
      <c r="E28" s="28"/>
      <c r="H28" s="63">
        <v>1</v>
      </c>
      <c r="I28" s="64"/>
      <c r="J28" s="64"/>
      <c r="K28" s="64"/>
      <c r="L28" s="64"/>
      <c r="M28" s="65"/>
      <c r="X28" s="2">
        <v>27</v>
      </c>
      <c r="AA28" s="6" t="str">
        <f t="shared" si="0"/>
        <v/>
      </c>
      <c r="AB28" s="6" t="str">
        <f t="shared" si="5"/>
        <v/>
      </c>
      <c r="AC28" s="6" t="str">
        <f t="shared" si="2"/>
        <v/>
      </c>
      <c r="AD28" s="6"/>
      <c r="AE28" s="6"/>
      <c r="AF28" s="2">
        <v>27</v>
      </c>
      <c r="AG28" s="11" t="str">
        <f t="shared" si="4"/>
        <v/>
      </c>
    </row>
    <row r="29" spans="1:33" ht="18" x14ac:dyDescent="0.3">
      <c r="A29" s="34">
        <v>7</v>
      </c>
      <c r="B29" s="35"/>
      <c r="C29" s="36">
        <v>7</v>
      </c>
      <c r="D29" s="35" t="s">
        <v>167</v>
      </c>
      <c r="E29" s="37" t="s">
        <v>168</v>
      </c>
      <c r="X29" s="2">
        <v>28</v>
      </c>
      <c r="AA29" s="6" t="str">
        <f t="shared" si="0"/>
        <v/>
      </c>
      <c r="AB29" s="6" t="str">
        <f t="shared" si="5"/>
        <v/>
      </c>
      <c r="AC29" s="6" t="str">
        <f t="shared" si="2"/>
        <v/>
      </c>
      <c r="AD29" s="6"/>
      <c r="AE29" s="6"/>
      <c r="AF29" s="2">
        <v>28</v>
      </c>
      <c r="AG29" s="11" t="str">
        <f t="shared" si="4"/>
        <v/>
      </c>
    </row>
    <row r="30" spans="1:33" ht="18.600000000000001" thickBot="1" x14ac:dyDescent="0.35">
      <c r="A30" s="38">
        <v>8</v>
      </c>
      <c r="B30" s="39" t="s">
        <v>167</v>
      </c>
      <c r="C30" s="40">
        <v>8</v>
      </c>
      <c r="D30" s="39" t="s">
        <v>167</v>
      </c>
      <c r="E30" s="41" t="s">
        <v>168</v>
      </c>
      <c r="X30" s="2">
        <v>29</v>
      </c>
      <c r="AA30" s="6" t="str">
        <f t="shared" si="0"/>
        <v/>
      </c>
      <c r="AB30" s="6" t="str">
        <f t="shared" si="5"/>
        <v/>
      </c>
      <c r="AC30" s="6" t="str">
        <f t="shared" si="2"/>
        <v/>
      </c>
      <c r="AD30" s="6"/>
      <c r="AE30" s="6"/>
      <c r="AF30" s="2">
        <v>29</v>
      </c>
      <c r="AG30" s="11" t="str">
        <f t="shared" si="4"/>
        <v/>
      </c>
    </row>
    <row r="31" spans="1:33" ht="16.2" thickBot="1" x14ac:dyDescent="0.35">
      <c r="H31" s="88" t="s">
        <v>181</v>
      </c>
      <c r="I31" s="89"/>
      <c r="X31" s="2">
        <v>30</v>
      </c>
      <c r="AA31" s="6" t="str">
        <f t="shared" si="0"/>
        <v/>
      </c>
      <c r="AB31" s="6" t="str">
        <f t="shared" si="5"/>
        <v/>
      </c>
      <c r="AC31" s="6" t="str">
        <f t="shared" si="2"/>
        <v/>
      </c>
      <c r="AD31" s="6"/>
      <c r="AE31" s="6"/>
      <c r="AF31" s="2">
        <v>30</v>
      </c>
      <c r="AG31" s="11" t="str">
        <f t="shared" si="4"/>
        <v/>
      </c>
    </row>
    <row r="32" spans="1:33" ht="18" x14ac:dyDescent="0.3">
      <c r="H32" s="90" t="s">
        <v>158</v>
      </c>
      <c r="I32" s="91" t="s">
        <v>167</v>
      </c>
      <c r="J32" s="92" t="s">
        <v>161</v>
      </c>
      <c r="X32" s="2">
        <v>31</v>
      </c>
      <c r="AA32" s="6" t="str">
        <f t="shared" si="0"/>
        <v/>
      </c>
      <c r="AB32" s="6" t="str">
        <f t="shared" si="5"/>
        <v/>
      </c>
      <c r="AC32" s="6" t="str">
        <f t="shared" si="2"/>
        <v/>
      </c>
      <c r="AD32" s="6"/>
      <c r="AE32" s="6"/>
      <c r="AF32" s="2">
        <v>31</v>
      </c>
      <c r="AG32" s="11" t="str">
        <f t="shared" si="4"/>
        <v/>
      </c>
    </row>
    <row r="33" spans="8:33" ht="18" x14ac:dyDescent="0.3">
      <c r="H33" s="93">
        <v>1</v>
      </c>
      <c r="I33" s="94"/>
      <c r="J33" s="95"/>
      <c r="X33" s="2">
        <v>32</v>
      </c>
      <c r="AA33" s="6" t="str">
        <f t="shared" si="0"/>
        <v/>
      </c>
      <c r="AB33" s="6" t="str">
        <f t="shared" si="5"/>
        <v/>
      </c>
      <c r="AC33" s="6" t="str">
        <f t="shared" si="2"/>
        <v/>
      </c>
      <c r="AD33" s="6"/>
      <c r="AE33" s="6"/>
      <c r="AF33" s="2">
        <v>32</v>
      </c>
      <c r="AG33" s="11" t="str">
        <f t="shared" si="4"/>
        <v/>
      </c>
    </row>
    <row r="34" spans="8:33" ht="18" x14ac:dyDescent="0.3">
      <c r="H34" s="93">
        <v>2</v>
      </c>
      <c r="I34" s="96"/>
      <c r="J34" s="95"/>
      <c r="X34" s="2">
        <v>33</v>
      </c>
      <c r="AA34" s="6" t="str">
        <f t="shared" si="0"/>
        <v/>
      </c>
      <c r="AB34" s="6" t="str">
        <f t="shared" si="5"/>
        <v/>
      </c>
      <c r="AC34" s="6" t="str">
        <f t="shared" si="2"/>
        <v/>
      </c>
      <c r="AD34" s="6"/>
      <c r="AE34" s="6"/>
      <c r="AF34" s="2">
        <v>33</v>
      </c>
      <c r="AG34" s="11" t="str">
        <f t="shared" si="4"/>
        <v/>
      </c>
    </row>
    <row r="35" spans="8:33" ht="18" x14ac:dyDescent="0.3">
      <c r="H35" s="93">
        <v>3</v>
      </c>
      <c r="I35" s="94"/>
      <c r="J35" s="95"/>
      <c r="X35" s="2">
        <v>34</v>
      </c>
      <c r="AA35" s="6" t="str">
        <f t="shared" si="0"/>
        <v/>
      </c>
      <c r="AB35" s="6" t="str">
        <f t="shared" si="5"/>
        <v/>
      </c>
      <c r="AC35" s="6" t="str">
        <f t="shared" si="2"/>
        <v/>
      </c>
      <c r="AD35" s="6"/>
      <c r="AE35" s="6"/>
      <c r="AF35" s="2">
        <v>34</v>
      </c>
      <c r="AG35" s="11" t="str">
        <f t="shared" si="4"/>
        <v/>
      </c>
    </row>
    <row r="36" spans="8:33" ht="18.600000000000001" thickBot="1" x14ac:dyDescent="0.35">
      <c r="H36" s="97">
        <v>4</v>
      </c>
      <c r="I36" s="98"/>
      <c r="J36" s="99"/>
      <c r="X36" s="2">
        <v>35</v>
      </c>
      <c r="AA36" s="6" t="str">
        <f t="shared" si="0"/>
        <v/>
      </c>
      <c r="AB36" s="6" t="str">
        <f t="shared" si="5"/>
        <v/>
      </c>
      <c r="AC36" s="6" t="str">
        <f t="shared" si="2"/>
        <v/>
      </c>
      <c r="AD36" s="6"/>
      <c r="AE36" s="6"/>
      <c r="AF36" s="2">
        <v>35</v>
      </c>
      <c r="AG36" s="11" t="str">
        <f t="shared" si="4"/>
        <v/>
      </c>
    </row>
    <row r="37" spans="8:33" x14ac:dyDescent="0.3">
      <c r="X37" s="2">
        <v>36</v>
      </c>
      <c r="AA37" s="6" t="str">
        <f t="shared" si="0"/>
        <v/>
      </c>
      <c r="AB37" s="6" t="str">
        <f t="shared" si="5"/>
        <v/>
      </c>
      <c r="AC37" s="6" t="str">
        <f t="shared" si="2"/>
        <v/>
      </c>
      <c r="AD37" s="6"/>
      <c r="AE37" s="6"/>
      <c r="AF37" s="2">
        <v>36</v>
      </c>
      <c r="AG37" s="11" t="str">
        <f t="shared" si="4"/>
        <v/>
      </c>
    </row>
    <row r="38" spans="8:33" x14ac:dyDescent="0.3">
      <c r="AA38" s="6" t="str">
        <f t="shared" ref="AA38:AB69" si="6">MID(Y38,12,9)</f>
        <v/>
      </c>
      <c r="AB38" s="6"/>
      <c r="AC38" s="6" t="str">
        <f t="shared" ref="AC38:AD69" si="7">MID(Y38,29,9)</f>
        <v/>
      </c>
      <c r="AD38" s="6"/>
      <c r="AE38" s="6"/>
      <c r="AG38" s="11"/>
    </row>
    <row r="39" spans="8:33" x14ac:dyDescent="0.3">
      <c r="AA39" s="6" t="str">
        <f t="shared" si="6"/>
        <v/>
      </c>
      <c r="AB39" s="6"/>
      <c r="AC39" s="6" t="str">
        <f t="shared" si="7"/>
        <v/>
      </c>
      <c r="AD39" s="6"/>
      <c r="AE39" s="6"/>
      <c r="AG39" s="11"/>
    </row>
    <row r="40" spans="8:33" x14ac:dyDescent="0.3">
      <c r="AA40" s="6" t="str">
        <f t="shared" si="6"/>
        <v/>
      </c>
      <c r="AB40" s="6"/>
      <c r="AC40" s="6" t="str">
        <f t="shared" si="7"/>
        <v/>
      </c>
      <c r="AD40" s="6"/>
      <c r="AE40" s="6"/>
      <c r="AG40" s="11"/>
    </row>
    <row r="41" spans="8:33" x14ac:dyDescent="0.3">
      <c r="AA41" s="6" t="str">
        <f t="shared" si="6"/>
        <v/>
      </c>
      <c r="AB41" s="6"/>
      <c r="AC41" s="6" t="str">
        <f t="shared" si="7"/>
        <v/>
      </c>
      <c r="AD41" s="6"/>
      <c r="AE41" s="6"/>
      <c r="AG41" s="11"/>
    </row>
    <row r="42" spans="8:33" x14ac:dyDescent="0.3">
      <c r="AA42" s="6" t="str">
        <f t="shared" si="6"/>
        <v/>
      </c>
      <c r="AB42" s="6"/>
      <c r="AC42" s="6" t="str">
        <f t="shared" si="7"/>
        <v/>
      </c>
      <c r="AD42" s="6"/>
      <c r="AE42" s="6"/>
      <c r="AG42" s="11"/>
    </row>
    <row r="43" spans="8:33" x14ac:dyDescent="0.3">
      <c r="AA43" s="6" t="str">
        <f t="shared" si="6"/>
        <v/>
      </c>
      <c r="AB43" s="6"/>
      <c r="AC43" s="6" t="str">
        <f t="shared" si="7"/>
        <v/>
      </c>
      <c r="AD43" s="6"/>
      <c r="AE43" s="6"/>
      <c r="AG43" s="11"/>
    </row>
    <row r="44" spans="8:33" x14ac:dyDescent="0.3">
      <c r="AA44" s="6" t="str">
        <f t="shared" si="6"/>
        <v/>
      </c>
      <c r="AB44" s="6"/>
      <c r="AC44" s="6" t="str">
        <f t="shared" si="7"/>
        <v/>
      </c>
      <c r="AD44" s="6"/>
      <c r="AE44" s="6"/>
      <c r="AG44" s="11"/>
    </row>
    <row r="45" spans="8:33" x14ac:dyDescent="0.3">
      <c r="AA45" s="6" t="str">
        <f t="shared" si="6"/>
        <v/>
      </c>
      <c r="AB45" s="6"/>
      <c r="AC45" s="6" t="str">
        <f t="shared" si="7"/>
        <v/>
      </c>
      <c r="AD45" s="6"/>
      <c r="AE45" s="6"/>
      <c r="AG45" s="11"/>
    </row>
    <row r="46" spans="8:33" x14ac:dyDescent="0.3">
      <c r="AA46" s="6" t="str">
        <f t="shared" si="6"/>
        <v/>
      </c>
      <c r="AB46" s="6"/>
      <c r="AC46" s="6" t="str">
        <f t="shared" si="7"/>
        <v/>
      </c>
      <c r="AD46" s="6"/>
      <c r="AE46" s="6"/>
      <c r="AG46" s="11"/>
    </row>
    <row r="47" spans="8:33" x14ac:dyDescent="0.3">
      <c r="W47" s="2"/>
      <c r="X47" s="4"/>
      <c r="Y47" s="2"/>
      <c r="AA47" s="74"/>
      <c r="AB47" s="6" t="str">
        <f t="shared" si="6"/>
        <v/>
      </c>
      <c r="AC47" s="6"/>
      <c r="AD47" s="6" t="str">
        <f t="shared" si="7"/>
        <v/>
      </c>
      <c r="AE47" s="6"/>
      <c r="AF47" s="6"/>
    </row>
    <row r="48" spans="8:33" x14ac:dyDescent="0.3">
      <c r="W48" s="2"/>
      <c r="X48" s="4"/>
      <c r="Y48" s="2"/>
      <c r="AA48" s="74"/>
      <c r="AB48" s="6" t="str">
        <f t="shared" si="6"/>
        <v/>
      </c>
      <c r="AC48" s="6"/>
      <c r="AD48" s="6" t="str">
        <f t="shared" si="7"/>
        <v/>
      </c>
      <c r="AE48" s="6"/>
      <c r="AF48" s="6"/>
    </row>
    <row r="49" spans="27:31" x14ac:dyDescent="0.3">
      <c r="AA49" s="6" t="str">
        <f t="shared" si="6"/>
        <v/>
      </c>
      <c r="AB49" s="6"/>
      <c r="AC49" s="6" t="str">
        <f t="shared" si="7"/>
        <v/>
      </c>
      <c r="AD49" s="6"/>
      <c r="AE49" s="6"/>
    </row>
    <row r="50" spans="27:31" x14ac:dyDescent="0.3">
      <c r="AA50" s="6" t="str">
        <f t="shared" si="6"/>
        <v/>
      </c>
      <c r="AB50" s="6"/>
      <c r="AC50" s="6" t="str">
        <f t="shared" si="7"/>
        <v/>
      </c>
      <c r="AD50" s="6"/>
      <c r="AE50" s="6"/>
    </row>
    <row r="51" spans="27:31" x14ac:dyDescent="0.3">
      <c r="AA51" s="6" t="str">
        <f t="shared" si="6"/>
        <v/>
      </c>
      <c r="AB51" s="6"/>
      <c r="AC51" s="6" t="str">
        <f t="shared" si="7"/>
        <v/>
      </c>
      <c r="AD51" s="6"/>
      <c r="AE51" s="6"/>
    </row>
    <row r="52" spans="27:31" x14ac:dyDescent="0.3">
      <c r="AA52" s="6" t="str">
        <f t="shared" si="6"/>
        <v/>
      </c>
      <c r="AB52" s="6"/>
      <c r="AC52" s="6" t="str">
        <f t="shared" si="7"/>
        <v/>
      </c>
      <c r="AD52" s="6"/>
      <c r="AE52" s="6"/>
    </row>
    <row r="53" spans="27:31" x14ac:dyDescent="0.3">
      <c r="AA53" s="6" t="str">
        <f t="shared" si="6"/>
        <v/>
      </c>
      <c r="AB53" s="6"/>
      <c r="AC53" s="6" t="str">
        <f t="shared" si="7"/>
        <v/>
      </c>
      <c r="AD53" s="6"/>
      <c r="AE53" s="6"/>
    </row>
    <row r="54" spans="27:31" x14ac:dyDescent="0.3">
      <c r="AA54" s="6" t="str">
        <f t="shared" si="6"/>
        <v/>
      </c>
      <c r="AB54" s="6"/>
      <c r="AC54" s="6" t="str">
        <f t="shared" si="7"/>
        <v/>
      </c>
      <c r="AD54" s="6"/>
      <c r="AE54" s="6"/>
    </row>
    <row r="55" spans="27:31" x14ac:dyDescent="0.3">
      <c r="AA55" s="6" t="str">
        <f t="shared" si="6"/>
        <v/>
      </c>
      <c r="AB55" s="6"/>
      <c r="AC55" s="6" t="str">
        <f t="shared" si="7"/>
        <v/>
      </c>
      <c r="AD55" s="6"/>
      <c r="AE55" s="6"/>
    </row>
    <row r="56" spans="27:31" x14ac:dyDescent="0.3">
      <c r="AA56" s="6" t="str">
        <f t="shared" si="6"/>
        <v/>
      </c>
      <c r="AB56" s="6"/>
      <c r="AC56" s="6" t="str">
        <f t="shared" si="7"/>
        <v/>
      </c>
      <c r="AD56" s="6"/>
      <c r="AE56" s="6"/>
    </row>
    <row r="57" spans="27:31" x14ac:dyDescent="0.3">
      <c r="AA57" s="6" t="str">
        <f t="shared" si="6"/>
        <v/>
      </c>
      <c r="AB57" s="6"/>
      <c r="AC57" s="6" t="str">
        <f t="shared" si="7"/>
        <v/>
      </c>
      <c r="AD57" s="6"/>
      <c r="AE57" s="6"/>
    </row>
    <row r="58" spans="27:31" x14ac:dyDescent="0.3">
      <c r="AA58" s="6" t="str">
        <f t="shared" si="6"/>
        <v/>
      </c>
      <c r="AB58" s="6"/>
      <c r="AC58" s="6" t="str">
        <f t="shared" si="7"/>
        <v/>
      </c>
      <c r="AD58" s="6"/>
      <c r="AE58" s="6"/>
    </row>
    <row r="59" spans="27:31" x14ac:dyDescent="0.3">
      <c r="AA59" s="6" t="str">
        <f t="shared" si="6"/>
        <v/>
      </c>
      <c r="AB59" s="6"/>
      <c r="AC59" s="6" t="str">
        <f t="shared" si="7"/>
        <v/>
      </c>
      <c r="AD59" s="6"/>
      <c r="AE59" s="6"/>
    </row>
    <row r="60" spans="27:31" x14ac:dyDescent="0.3">
      <c r="AA60" s="6" t="str">
        <f t="shared" si="6"/>
        <v/>
      </c>
      <c r="AB60" s="6"/>
      <c r="AC60" s="6" t="str">
        <f t="shared" si="7"/>
        <v/>
      </c>
      <c r="AD60" s="6"/>
      <c r="AE60" s="6"/>
    </row>
    <row r="61" spans="27:31" x14ac:dyDescent="0.3">
      <c r="AA61" s="6" t="str">
        <f t="shared" si="6"/>
        <v/>
      </c>
      <c r="AB61" s="6"/>
      <c r="AC61" s="6" t="str">
        <f t="shared" si="7"/>
        <v/>
      </c>
      <c r="AD61" s="6"/>
      <c r="AE61" s="6"/>
    </row>
    <row r="62" spans="27:31" x14ac:dyDescent="0.3">
      <c r="AA62" s="6" t="str">
        <f t="shared" si="6"/>
        <v/>
      </c>
      <c r="AB62" s="6"/>
      <c r="AC62" s="6" t="str">
        <f t="shared" si="7"/>
        <v/>
      </c>
      <c r="AD62" s="6"/>
      <c r="AE62" s="6"/>
    </row>
    <row r="63" spans="27:31" x14ac:dyDescent="0.3">
      <c r="AA63" s="6" t="str">
        <f t="shared" si="6"/>
        <v/>
      </c>
      <c r="AB63" s="6"/>
      <c r="AC63" s="6" t="str">
        <f t="shared" si="7"/>
        <v/>
      </c>
      <c r="AD63" s="6"/>
      <c r="AE63" s="6"/>
    </row>
    <row r="64" spans="27:31" x14ac:dyDescent="0.3">
      <c r="AA64" s="6" t="str">
        <f t="shared" si="6"/>
        <v/>
      </c>
      <c r="AB64" s="6"/>
      <c r="AC64" s="6" t="str">
        <f t="shared" si="7"/>
        <v/>
      </c>
      <c r="AD64" s="6"/>
      <c r="AE64" s="6"/>
    </row>
    <row r="65" spans="27:31" x14ac:dyDescent="0.3">
      <c r="AA65" s="6" t="str">
        <f t="shared" si="6"/>
        <v/>
      </c>
      <c r="AB65" s="6"/>
      <c r="AC65" s="6" t="str">
        <f t="shared" si="7"/>
        <v/>
      </c>
      <c r="AD65" s="6"/>
      <c r="AE65" s="6"/>
    </row>
    <row r="66" spans="27:31" x14ac:dyDescent="0.3">
      <c r="AA66" s="6" t="str">
        <f t="shared" si="6"/>
        <v/>
      </c>
      <c r="AB66" s="6"/>
      <c r="AC66" s="6" t="str">
        <f t="shared" si="7"/>
        <v/>
      </c>
      <c r="AD66" s="6"/>
      <c r="AE66" s="6"/>
    </row>
    <row r="67" spans="27:31" x14ac:dyDescent="0.3">
      <c r="AA67" s="6" t="str">
        <f t="shared" si="6"/>
        <v/>
      </c>
      <c r="AB67" s="6"/>
      <c r="AC67" s="6" t="str">
        <f t="shared" si="7"/>
        <v/>
      </c>
      <c r="AD67" s="6"/>
      <c r="AE67" s="6"/>
    </row>
    <row r="68" spans="27:31" x14ac:dyDescent="0.3">
      <c r="AA68" s="6" t="str">
        <f t="shared" si="6"/>
        <v/>
      </c>
      <c r="AB68" s="6"/>
      <c r="AC68" s="6" t="str">
        <f t="shared" si="7"/>
        <v/>
      </c>
      <c r="AD68" s="6"/>
      <c r="AE68" s="6"/>
    </row>
    <row r="69" spans="27:31" x14ac:dyDescent="0.3">
      <c r="AA69" s="6" t="str">
        <f t="shared" si="6"/>
        <v/>
      </c>
      <c r="AB69" s="6"/>
      <c r="AC69" s="6" t="str">
        <f t="shared" si="7"/>
        <v/>
      </c>
      <c r="AD69" s="6"/>
      <c r="AE69" s="6"/>
    </row>
    <row r="70" spans="27:31" x14ac:dyDescent="0.3">
      <c r="AA70" s="6" t="str">
        <f t="shared" ref="AA70:AA96" si="8">MID(Y70,12,9)</f>
        <v/>
      </c>
      <c r="AB70" s="6"/>
      <c r="AC70" s="6" t="str">
        <f t="shared" ref="AC70:AC96" si="9">MID(Y70,29,9)</f>
        <v/>
      </c>
      <c r="AD70" s="6"/>
      <c r="AE70" s="6"/>
    </row>
    <row r="71" spans="27:31" x14ac:dyDescent="0.3">
      <c r="AA71" s="6" t="str">
        <f t="shared" si="8"/>
        <v/>
      </c>
      <c r="AB71" s="6"/>
      <c r="AC71" s="6" t="str">
        <f t="shared" si="9"/>
        <v/>
      </c>
      <c r="AD71" s="6"/>
      <c r="AE71" s="6"/>
    </row>
    <row r="72" spans="27:31" x14ac:dyDescent="0.3">
      <c r="AA72" s="6" t="str">
        <f t="shared" si="8"/>
        <v/>
      </c>
      <c r="AB72" s="6"/>
      <c r="AC72" s="6" t="str">
        <f t="shared" si="9"/>
        <v/>
      </c>
      <c r="AD72" s="6"/>
      <c r="AE72" s="6"/>
    </row>
    <row r="73" spans="27:31" x14ac:dyDescent="0.3">
      <c r="AA73" s="6" t="str">
        <f t="shared" si="8"/>
        <v/>
      </c>
      <c r="AB73" s="6"/>
      <c r="AC73" s="6" t="str">
        <f t="shared" si="9"/>
        <v/>
      </c>
      <c r="AD73" s="6"/>
      <c r="AE73" s="6"/>
    </row>
    <row r="74" spans="27:31" x14ac:dyDescent="0.3">
      <c r="AA74" s="6" t="str">
        <f t="shared" si="8"/>
        <v/>
      </c>
      <c r="AB74" s="6"/>
      <c r="AC74" s="6" t="str">
        <f t="shared" si="9"/>
        <v/>
      </c>
      <c r="AD74" s="6"/>
      <c r="AE74" s="6"/>
    </row>
    <row r="75" spans="27:31" x14ac:dyDescent="0.3">
      <c r="AA75" s="6" t="str">
        <f t="shared" si="8"/>
        <v/>
      </c>
      <c r="AB75" s="6"/>
      <c r="AC75" s="6" t="str">
        <f t="shared" si="9"/>
        <v/>
      </c>
      <c r="AD75" s="6"/>
      <c r="AE75" s="6"/>
    </row>
    <row r="76" spans="27:31" x14ac:dyDescent="0.3">
      <c r="AA76" s="6" t="str">
        <f t="shared" si="8"/>
        <v/>
      </c>
      <c r="AB76" s="6"/>
      <c r="AC76" s="6" t="str">
        <f t="shared" si="9"/>
        <v/>
      </c>
      <c r="AD76" s="6"/>
      <c r="AE76" s="6"/>
    </row>
    <row r="77" spans="27:31" x14ac:dyDescent="0.3">
      <c r="AA77" s="6" t="str">
        <f t="shared" si="8"/>
        <v/>
      </c>
      <c r="AB77" s="6"/>
      <c r="AC77" s="6" t="str">
        <f t="shared" si="9"/>
        <v/>
      </c>
      <c r="AD77" s="6"/>
      <c r="AE77" s="6"/>
    </row>
    <row r="78" spans="27:31" x14ac:dyDescent="0.3">
      <c r="AA78" s="6" t="str">
        <f t="shared" si="8"/>
        <v/>
      </c>
      <c r="AB78" s="6"/>
      <c r="AC78" s="6" t="str">
        <f t="shared" si="9"/>
        <v/>
      </c>
      <c r="AD78" s="6"/>
      <c r="AE78" s="6"/>
    </row>
    <row r="79" spans="27:31" x14ac:dyDescent="0.3">
      <c r="AA79" s="6" t="str">
        <f t="shared" si="8"/>
        <v/>
      </c>
      <c r="AB79" s="6"/>
      <c r="AC79" s="6" t="str">
        <f t="shared" si="9"/>
        <v/>
      </c>
      <c r="AD79" s="6"/>
      <c r="AE79" s="6"/>
    </row>
    <row r="80" spans="27:31" x14ac:dyDescent="0.3">
      <c r="AA80" s="6" t="str">
        <f t="shared" si="8"/>
        <v/>
      </c>
      <c r="AB80" s="6"/>
      <c r="AC80" s="6" t="str">
        <f t="shared" si="9"/>
        <v/>
      </c>
      <c r="AD80" s="6"/>
      <c r="AE80" s="6"/>
    </row>
    <row r="81" spans="27:31" x14ac:dyDescent="0.3">
      <c r="AA81" s="6" t="str">
        <f t="shared" si="8"/>
        <v/>
      </c>
      <c r="AB81" s="6"/>
      <c r="AC81" s="6" t="str">
        <f t="shared" si="9"/>
        <v/>
      </c>
      <c r="AD81" s="6"/>
      <c r="AE81" s="6"/>
    </row>
    <row r="82" spans="27:31" x14ac:dyDescent="0.3">
      <c r="AA82" s="6" t="str">
        <f t="shared" si="8"/>
        <v/>
      </c>
      <c r="AB82" s="6"/>
      <c r="AC82" s="6" t="str">
        <f t="shared" si="9"/>
        <v/>
      </c>
      <c r="AD82" s="6"/>
      <c r="AE82" s="6"/>
    </row>
    <row r="83" spans="27:31" x14ac:dyDescent="0.3">
      <c r="AA83" s="6" t="str">
        <f t="shared" si="8"/>
        <v/>
      </c>
      <c r="AB83" s="6"/>
      <c r="AC83" s="6" t="str">
        <f t="shared" si="9"/>
        <v/>
      </c>
      <c r="AD83" s="6"/>
      <c r="AE83" s="6"/>
    </row>
    <row r="84" spans="27:31" x14ac:dyDescent="0.3">
      <c r="AA84" s="6" t="str">
        <f t="shared" si="8"/>
        <v/>
      </c>
      <c r="AB84" s="6"/>
      <c r="AC84" s="6" t="str">
        <f t="shared" si="9"/>
        <v/>
      </c>
      <c r="AD84" s="6"/>
      <c r="AE84" s="6"/>
    </row>
    <row r="85" spans="27:31" x14ac:dyDescent="0.3">
      <c r="AA85" s="6" t="str">
        <f t="shared" si="8"/>
        <v/>
      </c>
      <c r="AB85" s="6"/>
      <c r="AC85" s="6" t="str">
        <f t="shared" si="9"/>
        <v/>
      </c>
      <c r="AD85" s="6"/>
      <c r="AE85" s="6"/>
    </row>
    <row r="86" spans="27:31" x14ac:dyDescent="0.3">
      <c r="AA86" s="6" t="str">
        <f t="shared" si="8"/>
        <v/>
      </c>
      <c r="AB86" s="6"/>
      <c r="AC86" s="6" t="str">
        <f t="shared" si="9"/>
        <v/>
      </c>
      <c r="AD86" s="6"/>
      <c r="AE86" s="6"/>
    </row>
    <row r="87" spans="27:31" x14ac:dyDescent="0.3">
      <c r="AA87" s="6" t="str">
        <f t="shared" si="8"/>
        <v/>
      </c>
      <c r="AB87" s="6"/>
      <c r="AC87" s="6" t="str">
        <f t="shared" si="9"/>
        <v/>
      </c>
      <c r="AD87" s="6"/>
      <c r="AE87" s="6"/>
    </row>
    <row r="88" spans="27:31" x14ac:dyDescent="0.3">
      <c r="AA88" s="6" t="str">
        <f t="shared" si="8"/>
        <v/>
      </c>
      <c r="AB88" s="6"/>
      <c r="AC88" s="6" t="str">
        <f t="shared" si="9"/>
        <v/>
      </c>
      <c r="AD88" s="6"/>
      <c r="AE88" s="6"/>
    </row>
    <row r="89" spans="27:31" x14ac:dyDescent="0.3">
      <c r="AA89" s="6" t="str">
        <f t="shared" si="8"/>
        <v/>
      </c>
      <c r="AB89" s="6"/>
      <c r="AC89" s="6" t="str">
        <f t="shared" si="9"/>
        <v/>
      </c>
      <c r="AD89" s="6"/>
      <c r="AE89" s="6"/>
    </row>
    <row r="90" spans="27:31" x14ac:dyDescent="0.3">
      <c r="AA90" s="6" t="str">
        <f t="shared" si="8"/>
        <v/>
      </c>
      <c r="AB90" s="6"/>
      <c r="AC90" s="6" t="str">
        <f t="shared" si="9"/>
        <v/>
      </c>
      <c r="AD90" s="6"/>
      <c r="AE90" s="6"/>
    </row>
    <row r="91" spans="27:31" x14ac:dyDescent="0.3">
      <c r="AA91" s="6" t="str">
        <f t="shared" si="8"/>
        <v/>
      </c>
      <c r="AB91" s="6"/>
      <c r="AC91" s="6" t="str">
        <f t="shared" si="9"/>
        <v/>
      </c>
      <c r="AD91" s="6"/>
      <c r="AE91" s="6"/>
    </row>
    <row r="92" spans="27:31" x14ac:dyDescent="0.3">
      <c r="AA92" s="6" t="str">
        <f t="shared" si="8"/>
        <v/>
      </c>
      <c r="AB92" s="6"/>
      <c r="AC92" s="6" t="str">
        <f t="shared" si="9"/>
        <v/>
      </c>
      <c r="AD92" s="6"/>
      <c r="AE92" s="6"/>
    </row>
    <row r="93" spans="27:31" x14ac:dyDescent="0.3">
      <c r="AA93" s="6" t="str">
        <f t="shared" si="8"/>
        <v/>
      </c>
      <c r="AB93" s="6"/>
      <c r="AC93" s="6" t="str">
        <f t="shared" si="9"/>
        <v/>
      </c>
      <c r="AD93" s="6"/>
      <c r="AE93" s="6"/>
    </row>
    <row r="94" spans="27:31" x14ac:dyDescent="0.3">
      <c r="AA94" s="6" t="str">
        <f t="shared" si="8"/>
        <v/>
      </c>
      <c r="AB94" s="6"/>
      <c r="AC94" s="6" t="str">
        <f t="shared" si="9"/>
        <v/>
      </c>
      <c r="AD94" s="6"/>
      <c r="AE94" s="6"/>
    </row>
    <row r="95" spans="27:31" x14ac:dyDescent="0.3">
      <c r="AA95" s="6" t="str">
        <f t="shared" si="8"/>
        <v/>
      </c>
      <c r="AB95" s="6"/>
      <c r="AC95" s="6" t="str">
        <f t="shared" si="9"/>
        <v/>
      </c>
      <c r="AD95" s="6"/>
      <c r="AE95" s="6"/>
    </row>
    <row r="96" spans="27:31" x14ac:dyDescent="0.3">
      <c r="AA96" s="6" t="str">
        <f t="shared" si="8"/>
        <v/>
      </c>
      <c r="AB96" s="6"/>
      <c r="AC96" s="6" t="str">
        <f t="shared" si="9"/>
        <v/>
      </c>
      <c r="AD96" s="6"/>
      <c r="AE96" s="6"/>
    </row>
  </sheetData>
  <mergeCells count="10">
    <mergeCell ref="A21:B21"/>
    <mergeCell ref="H21:I21"/>
    <mergeCell ref="H26:I26"/>
    <mergeCell ref="H31:I31"/>
    <mergeCell ref="H1:I1"/>
    <mergeCell ref="H2:I2"/>
    <mergeCell ref="P2:Q2"/>
    <mergeCell ref="A3:B3"/>
    <mergeCell ref="H3:I3"/>
    <mergeCell ref="H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FA8A-6187-4EB5-BF4A-121DF1C62D90}">
  <dimension ref="A1:AD109"/>
  <sheetViews>
    <sheetView topLeftCell="I79" zoomScale="60" zoomScaleNormal="60" workbookViewId="0">
      <selection activeCell="Z90" sqref="Z90"/>
    </sheetView>
  </sheetViews>
  <sheetFormatPr defaultRowHeight="14.4" x14ac:dyDescent="0.3"/>
  <cols>
    <col min="1" max="1" width="35.88671875" customWidth="1"/>
    <col min="2" max="2" width="19.44140625" customWidth="1"/>
    <col min="3" max="3" width="18.33203125" customWidth="1"/>
    <col min="4" max="4" width="31.109375" customWidth="1"/>
    <col min="5" max="6" width="21.33203125" customWidth="1"/>
    <col min="7" max="7" width="21" customWidth="1"/>
    <col min="8" max="8" width="25.44140625" customWidth="1"/>
    <col min="9" max="9" width="26.33203125" customWidth="1"/>
    <col min="10" max="10" width="14.6640625" customWidth="1"/>
    <col min="11" max="11" width="13.5546875" bestFit="1" customWidth="1"/>
    <col min="12" max="16" width="13.5546875" customWidth="1"/>
    <col min="17" max="17" width="16.44140625" customWidth="1"/>
    <col min="18" max="18" width="17.109375" bestFit="1" customWidth="1"/>
    <col min="19" max="19" width="30.109375" customWidth="1"/>
    <col min="20" max="21" width="17.109375" customWidth="1"/>
    <col min="22" max="22" width="16.109375" customWidth="1"/>
    <col min="23" max="23" width="20.5546875" customWidth="1"/>
    <col min="24" max="24" width="18" customWidth="1"/>
    <col min="25" max="29" width="30.109375" customWidth="1"/>
    <col min="31" max="31" width="10.109375" customWidth="1"/>
    <col min="33" max="33" width="21.33203125" customWidth="1"/>
    <col min="34" max="34" width="13.88671875" customWidth="1"/>
    <col min="35" max="35" width="12.109375" customWidth="1"/>
    <col min="36" max="37" width="8.6640625" customWidth="1"/>
    <col min="38" max="39" width="13.109375" customWidth="1"/>
    <col min="40" max="40" width="40.44140625" customWidth="1"/>
    <col min="41" max="41" width="11.5546875" customWidth="1"/>
    <col min="42" max="42" width="29.5546875" customWidth="1"/>
    <col min="43" max="43" width="27.5546875" customWidth="1"/>
    <col min="44" max="45" width="8.6640625" customWidth="1"/>
    <col min="46" max="46" width="14.5546875" bestFit="1" customWidth="1"/>
  </cols>
  <sheetData>
    <row r="1" spans="1:30" x14ac:dyDescent="0.3">
      <c r="U1" s="100" t="s">
        <v>182</v>
      </c>
      <c r="V1" s="100" t="s">
        <v>183</v>
      </c>
      <c r="W1" s="100" t="s">
        <v>184</v>
      </c>
      <c r="X1" s="100" t="s">
        <v>185</v>
      </c>
      <c r="Y1" s="100" t="s">
        <v>186</v>
      </c>
      <c r="Z1" s="100" t="s">
        <v>187</v>
      </c>
      <c r="AA1" s="100" t="s">
        <v>188</v>
      </c>
      <c r="AB1" s="100" t="s">
        <v>36</v>
      </c>
      <c r="AC1" s="100" t="s">
        <v>189</v>
      </c>
      <c r="AD1" s="100" t="s">
        <v>190</v>
      </c>
    </row>
    <row r="2" spans="1:30" ht="15" thickBot="1" x14ac:dyDescent="0.35">
      <c r="U2" s="101" t="s">
        <v>191</v>
      </c>
      <c r="V2" s="101" t="s">
        <v>192</v>
      </c>
      <c r="W2" s="102" t="s">
        <v>193</v>
      </c>
      <c r="X2" s="103" t="s">
        <v>194</v>
      </c>
      <c r="Y2" s="103" t="s">
        <v>195</v>
      </c>
      <c r="Z2" s="101" t="s">
        <v>91</v>
      </c>
      <c r="AA2" t="s">
        <v>196</v>
      </c>
      <c r="AB2" t="s">
        <v>197</v>
      </c>
      <c r="AC2" s="104" t="s">
        <v>198</v>
      </c>
      <c r="AD2" s="101" t="s">
        <v>199</v>
      </c>
    </row>
    <row r="3" spans="1:30" ht="27.75" customHeight="1" x14ac:dyDescent="0.3">
      <c r="B3" s="105" t="s">
        <v>200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7"/>
      <c r="U3" s="101" t="s">
        <v>201</v>
      </c>
      <c r="V3" s="101" t="s">
        <v>202</v>
      </c>
      <c r="W3" s="102" t="s">
        <v>203</v>
      </c>
      <c r="X3" s="103" t="s">
        <v>204</v>
      </c>
      <c r="Y3" s="103" t="s">
        <v>205</v>
      </c>
      <c r="Z3" t="s">
        <v>206</v>
      </c>
      <c r="AA3" t="s">
        <v>207</v>
      </c>
      <c r="AB3" t="s">
        <v>208</v>
      </c>
      <c r="AC3" s="104" t="s">
        <v>209</v>
      </c>
      <c r="AD3" s="101" t="s">
        <v>210</v>
      </c>
    </row>
    <row r="4" spans="1:30" x14ac:dyDescent="0.3">
      <c r="B4" s="108" t="s">
        <v>182</v>
      </c>
      <c r="C4" s="109"/>
      <c r="D4" s="110" t="s">
        <v>211</v>
      </c>
      <c r="E4" s="110" t="s">
        <v>212</v>
      </c>
      <c r="F4" s="111" t="s">
        <v>213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 t="s">
        <v>214</v>
      </c>
      <c r="U4" t="s">
        <v>215</v>
      </c>
      <c r="V4" s="101" t="s">
        <v>216</v>
      </c>
      <c r="W4" s="102" t="s">
        <v>217</v>
      </c>
      <c r="X4" s="103" t="s">
        <v>218</v>
      </c>
      <c r="Y4" s="103" t="s">
        <v>219</v>
      </c>
      <c r="AA4" t="s">
        <v>206</v>
      </c>
      <c r="AB4" t="s">
        <v>220</v>
      </c>
      <c r="AC4" s="103" t="s">
        <v>221</v>
      </c>
    </row>
    <row r="5" spans="1:30" ht="33" customHeight="1" thickBot="1" x14ac:dyDescent="0.35">
      <c r="B5" s="113" t="s">
        <v>222</v>
      </c>
      <c r="C5" s="114"/>
      <c r="D5" s="115" t="s">
        <v>191</v>
      </c>
      <c r="E5" s="116" t="str">
        <f>B8</f>
        <v>2-339414353721</v>
      </c>
      <c r="F5" s="117" t="s">
        <v>270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9"/>
      <c r="R5" s="120" t="s">
        <v>271</v>
      </c>
      <c r="V5" s="101" t="s">
        <v>223</v>
      </c>
      <c r="Y5" s="103" t="s">
        <v>224</v>
      </c>
      <c r="Z5" s="103"/>
      <c r="AB5" t="s">
        <v>225</v>
      </c>
      <c r="AC5" s="101" t="s">
        <v>226</v>
      </c>
    </row>
    <row r="6" spans="1:30" ht="33" customHeight="1" x14ac:dyDescent="0.3">
      <c r="B6" s="105" t="s">
        <v>227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7"/>
      <c r="V6" s="101"/>
      <c r="Y6" s="103" t="s">
        <v>228</v>
      </c>
      <c r="Z6" s="103"/>
      <c r="AB6" t="s">
        <v>229</v>
      </c>
    </row>
    <row r="7" spans="1:30" x14ac:dyDescent="0.3">
      <c r="B7" s="121" t="s">
        <v>0</v>
      </c>
      <c r="C7" s="110" t="s">
        <v>1</v>
      </c>
      <c r="D7" s="110" t="s">
        <v>2</v>
      </c>
      <c r="E7" s="110" t="s">
        <v>3</v>
      </c>
      <c r="F7" s="110" t="s">
        <v>4</v>
      </c>
      <c r="G7" s="110" t="s">
        <v>5</v>
      </c>
      <c r="H7" s="110" t="s">
        <v>6</v>
      </c>
      <c r="I7" s="110" t="s">
        <v>7</v>
      </c>
      <c r="J7" s="122" t="s">
        <v>8</v>
      </c>
      <c r="K7" s="110" t="s">
        <v>9</v>
      </c>
      <c r="L7" s="110" t="s">
        <v>10</v>
      </c>
      <c r="M7" s="110" t="s">
        <v>12</v>
      </c>
      <c r="N7" s="110" t="s">
        <v>13</v>
      </c>
      <c r="O7" s="110" t="s">
        <v>14</v>
      </c>
      <c r="P7" s="110" t="s">
        <v>15</v>
      </c>
      <c r="Q7" s="110" t="s">
        <v>16</v>
      </c>
      <c r="R7" s="112" t="s">
        <v>17</v>
      </c>
      <c r="AB7" t="s">
        <v>230</v>
      </c>
    </row>
    <row r="8" spans="1:30" ht="30" customHeight="1" x14ac:dyDescent="0.3">
      <c r="A8" s="123" t="s">
        <v>231</v>
      </c>
      <c r="B8" s="124" t="s">
        <v>24</v>
      </c>
      <c r="C8" s="125" t="s">
        <v>25</v>
      </c>
      <c r="D8" s="125" t="s">
        <v>26</v>
      </c>
      <c r="E8" s="125">
        <v>5</v>
      </c>
      <c r="F8" s="125" t="s">
        <v>27</v>
      </c>
      <c r="G8" s="125" t="s">
        <v>28</v>
      </c>
      <c r="H8" s="125" t="b">
        <v>1</v>
      </c>
      <c r="I8" s="125" t="b">
        <v>0</v>
      </c>
      <c r="J8" s="125" t="s">
        <v>29</v>
      </c>
      <c r="K8" s="125" t="s">
        <v>30</v>
      </c>
      <c r="L8" s="125" t="s">
        <v>31</v>
      </c>
      <c r="M8" s="125" t="b">
        <v>0</v>
      </c>
      <c r="N8" s="125" t="b">
        <v>0</v>
      </c>
      <c r="O8" s="125" t="b">
        <v>0</v>
      </c>
      <c r="P8" s="125"/>
      <c r="Q8" s="125"/>
      <c r="R8" t="s">
        <v>32</v>
      </c>
      <c r="V8" s="101"/>
      <c r="AB8" t="s">
        <v>232</v>
      </c>
    </row>
    <row r="9" spans="1:30" x14ac:dyDescent="0.3">
      <c r="B9" s="126"/>
      <c r="R9" s="127"/>
      <c r="V9" s="101"/>
      <c r="AB9" t="s">
        <v>233</v>
      </c>
    </row>
    <row r="10" spans="1:30" ht="30.75" customHeight="1" x14ac:dyDescent="0.3">
      <c r="B10" s="128" t="s">
        <v>234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30"/>
      <c r="AB10" t="s">
        <v>235</v>
      </c>
      <c r="AC10">
        <v>2</v>
      </c>
    </row>
    <row r="11" spans="1:30" ht="30.75" customHeight="1" x14ac:dyDescent="0.3"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3"/>
      <c r="AB11" t="s">
        <v>236</v>
      </c>
      <c r="AC11">
        <v>4</v>
      </c>
    </row>
    <row r="12" spans="1:30" ht="29.25" customHeight="1" x14ac:dyDescent="0.3">
      <c r="B12" s="131"/>
      <c r="C12" s="132"/>
      <c r="D12" s="134" t="s">
        <v>187</v>
      </c>
      <c r="E12" s="134" t="s">
        <v>183</v>
      </c>
      <c r="F12" s="134" t="s">
        <v>237</v>
      </c>
      <c r="G12" s="132"/>
      <c r="H12" s="135"/>
      <c r="I12" s="132"/>
      <c r="J12" s="132"/>
      <c r="K12" s="132"/>
      <c r="L12" s="132"/>
      <c r="M12" s="132"/>
      <c r="N12" s="132"/>
      <c r="O12" s="132"/>
      <c r="P12" s="132"/>
      <c r="Q12" s="132"/>
      <c r="R12" s="133"/>
      <c r="AB12" t="s">
        <v>238</v>
      </c>
    </row>
    <row r="13" spans="1:30" ht="29.25" customHeight="1" x14ac:dyDescent="0.3">
      <c r="B13" s="131"/>
      <c r="C13" s="132"/>
      <c r="D13" s="136" t="s">
        <v>91</v>
      </c>
      <c r="E13" s="137" t="s">
        <v>192</v>
      </c>
      <c r="F13" s="115">
        <v>314</v>
      </c>
      <c r="G13" s="132"/>
      <c r="H13" s="135"/>
      <c r="I13" s="132"/>
      <c r="J13" s="132"/>
      <c r="K13" s="132"/>
      <c r="L13" s="132"/>
      <c r="M13" s="132"/>
      <c r="N13" s="132"/>
      <c r="O13" s="132"/>
      <c r="P13" s="132"/>
      <c r="Q13" s="132"/>
      <c r="R13" s="133"/>
      <c r="AB13" t="s">
        <v>239</v>
      </c>
    </row>
    <row r="14" spans="1:30" ht="29.25" customHeight="1" x14ac:dyDescent="0.3">
      <c r="B14" s="131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3"/>
      <c r="AB14" t="s">
        <v>240</v>
      </c>
    </row>
    <row r="15" spans="1:30" ht="29.25" customHeight="1" x14ac:dyDescent="0.3">
      <c r="B15" s="128" t="s">
        <v>241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30"/>
    </row>
    <row r="16" spans="1:30" ht="29.25" customHeight="1" x14ac:dyDescent="0.3">
      <c r="B16" s="131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3"/>
      <c r="AB16" t="s">
        <v>242</v>
      </c>
    </row>
    <row r="17" spans="1:28" ht="29.25" customHeight="1" x14ac:dyDescent="0.3">
      <c r="B17" s="131"/>
      <c r="C17" s="132"/>
      <c r="D17" s="134" t="s">
        <v>184</v>
      </c>
      <c r="E17" s="134" t="s">
        <v>185</v>
      </c>
      <c r="F17" s="138" t="s">
        <v>189</v>
      </c>
      <c r="G17" s="134" t="s">
        <v>237</v>
      </c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3"/>
      <c r="AB17" t="s">
        <v>243</v>
      </c>
    </row>
    <row r="18" spans="1:28" ht="37.5" customHeight="1" x14ac:dyDescent="0.3">
      <c r="A18" s="101"/>
      <c r="B18" s="131"/>
      <c r="C18" s="132"/>
      <c r="D18" s="136" t="s">
        <v>184</v>
      </c>
      <c r="E18" s="136" t="s">
        <v>185</v>
      </c>
      <c r="F18" s="139" t="s">
        <v>198</v>
      </c>
      <c r="G18" s="115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3"/>
      <c r="AB18" t="s">
        <v>244</v>
      </c>
    </row>
    <row r="19" spans="1:28" x14ac:dyDescent="0.3"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3"/>
      <c r="AB19" t="s">
        <v>245</v>
      </c>
    </row>
    <row r="20" spans="1:28" ht="39.75" customHeight="1" thickBot="1" x14ac:dyDescent="0.35">
      <c r="B20" s="128" t="s">
        <v>246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30"/>
    </row>
    <row r="21" spans="1:28" x14ac:dyDescent="0.3">
      <c r="B21" s="140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2"/>
    </row>
    <row r="22" spans="1:28" ht="27.6" x14ac:dyDescent="0.3">
      <c r="B22" s="143" t="s">
        <v>247</v>
      </c>
      <c r="C22" s="136" t="s">
        <v>229</v>
      </c>
      <c r="D22" s="136" t="s">
        <v>205</v>
      </c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3"/>
    </row>
    <row r="23" spans="1:28" ht="28.5" customHeight="1" x14ac:dyDescent="0.3">
      <c r="B23" s="144"/>
      <c r="C23" s="145"/>
      <c r="D23" s="145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3"/>
    </row>
    <row r="24" spans="1:28" ht="57" customHeight="1" x14ac:dyDescent="0.3">
      <c r="B24" s="146" t="s">
        <v>36</v>
      </c>
      <c r="C24" s="147" t="s">
        <v>37</v>
      </c>
      <c r="D24" s="147" t="s">
        <v>38</v>
      </c>
      <c r="E24" s="147" t="s">
        <v>39</v>
      </c>
      <c r="F24" s="147" t="s">
        <v>40</v>
      </c>
      <c r="G24" s="147" t="s">
        <v>41</v>
      </c>
      <c r="H24" s="147" t="s">
        <v>42</v>
      </c>
      <c r="I24" s="147" t="s">
        <v>47</v>
      </c>
      <c r="J24" s="147" t="s">
        <v>248</v>
      </c>
      <c r="K24" s="147" t="s">
        <v>49</v>
      </c>
      <c r="L24" s="147" t="s">
        <v>46</v>
      </c>
      <c r="M24" s="147" t="s">
        <v>47</v>
      </c>
      <c r="N24" s="147" t="s">
        <v>48</v>
      </c>
      <c r="O24" s="147" t="s">
        <v>49</v>
      </c>
      <c r="P24" s="148" t="s">
        <v>249</v>
      </c>
      <c r="Q24" s="149" t="s">
        <v>250</v>
      </c>
      <c r="R24" s="133"/>
    </row>
    <row r="25" spans="1:28" ht="32.25" customHeight="1" x14ac:dyDescent="0.3">
      <c r="A25" s="150" t="s">
        <v>251</v>
      </c>
      <c r="B25" s="124" t="s">
        <v>50</v>
      </c>
      <c r="C25" s="125">
        <v>0</v>
      </c>
      <c r="D25" s="125">
        <v>0</v>
      </c>
      <c r="E25" s="125"/>
      <c r="F25" s="125"/>
      <c r="G25" s="125"/>
      <c r="H25" s="125"/>
      <c r="I25" s="125"/>
      <c r="J25" s="125"/>
      <c r="K25" s="125"/>
      <c r="L25" s="147"/>
      <c r="M25" s="147"/>
      <c r="N25" s="147"/>
      <c r="O25" s="147"/>
      <c r="P25" s="115"/>
      <c r="Q25" s="120"/>
      <c r="R25" s="133"/>
    </row>
    <row r="26" spans="1:28" ht="32.25" customHeight="1" x14ac:dyDescent="0.3">
      <c r="A26" s="150"/>
      <c r="B26" s="124" t="s">
        <v>28</v>
      </c>
      <c r="C26" s="125">
        <v>0</v>
      </c>
      <c r="D26" s="125">
        <v>8</v>
      </c>
      <c r="E26" s="125">
        <v>6</v>
      </c>
      <c r="F26" s="125" t="s">
        <v>51</v>
      </c>
      <c r="G26" s="125">
        <v>2</v>
      </c>
      <c r="H26" s="125" t="s">
        <v>51</v>
      </c>
      <c r="I26" s="125"/>
      <c r="J26" s="125"/>
      <c r="K26" s="125"/>
      <c r="L26" s="147"/>
      <c r="M26" s="147"/>
      <c r="N26" s="147"/>
      <c r="O26" s="147"/>
      <c r="P26" s="115" t="s">
        <v>272</v>
      </c>
      <c r="Q26" s="120" t="s">
        <v>273</v>
      </c>
      <c r="R26" s="133"/>
    </row>
    <row r="27" spans="1:28" ht="32.25" customHeight="1" x14ac:dyDescent="0.3">
      <c r="A27" s="150"/>
      <c r="B27" s="124" t="s">
        <v>52</v>
      </c>
      <c r="C27" s="125">
        <v>6</v>
      </c>
      <c r="D27" s="125">
        <v>0</v>
      </c>
      <c r="E27" s="125">
        <v>6</v>
      </c>
      <c r="F27" s="125" t="s">
        <v>51</v>
      </c>
      <c r="G27" s="125"/>
      <c r="H27" s="125"/>
      <c r="I27" s="125"/>
      <c r="J27" s="125"/>
      <c r="K27" s="125"/>
      <c r="L27" s="147"/>
      <c r="M27" s="147"/>
      <c r="N27" s="147"/>
      <c r="O27" s="147"/>
      <c r="P27" s="115">
        <v>20</v>
      </c>
      <c r="Q27" s="120">
        <v>12</v>
      </c>
      <c r="R27" s="133"/>
    </row>
    <row r="28" spans="1:28" ht="32.25" customHeight="1" x14ac:dyDescent="0.3">
      <c r="A28" s="150"/>
      <c r="B28" s="124" t="s">
        <v>53</v>
      </c>
      <c r="C28" s="125">
        <v>6</v>
      </c>
      <c r="D28" s="125">
        <v>0</v>
      </c>
      <c r="E28" s="125">
        <v>6</v>
      </c>
      <c r="F28" s="125" t="s">
        <v>51</v>
      </c>
      <c r="G28" s="125"/>
      <c r="H28" s="125"/>
      <c r="I28" s="125"/>
      <c r="J28" s="125"/>
      <c r="K28" s="125"/>
      <c r="L28" s="147"/>
      <c r="M28" s="147"/>
      <c r="N28" s="147"/>
      <c r="O28" s="147"/>
      <c r="P28" s="115">
        <v>23</v>
      </c>
      <c r="Q28" s="120">
        <v>12</v>
      </c>
      <c r="R28" s="133"/>
    </row>
    <row r="29" spans="1:28" ht="32.25" customHeight="1" x14ac:dyDescent="0.3">
      <c r="A29" s="150"/>
      <c r="B29" s="124" t="s">
        <v>27</v>
      </c>
      <c r="C29" s="125">
        <v>6</v>
      </c>
      <c r="D29" s="125">
        <v>0</v>
      </c>
      <c r="E29" s="125">
        <v>6</v>
      </c>
      <c r="F29" s="125" t="s">
        <v>51</v>
      </c>
      <c r="G29" s="125"/>
      <c r="H29" s="125"/>
      <c r="I29" s="125"/>
      <c r="J29" s="125"/>
      <c r="K29" s="125"/>
      <c r="L29" s="147"/>
      <c r="M29" s="147" t="s">
        <v>54</v>
      </c>
      <c r="N29" s="147" t="s">
        <v>55</v>
      </c>
      <c r="O29" s="147"/>
      <c r="P29" s="115">
        <v>26</v>
      </c>
      <c r="Q29" s="120">
        <v>12</v>
      </c>
      <c r="R29" s="133"/>
    </row>
    <row r="30" spans="1:28" ht="32.25" customHeight="1" x14ac:dyDescent="0.3">
      <c r="A30" s="150"/>
      <c r="B30" s="124"/>
      <c r="C30" s="125"/>
      <c r="D30" s="125"/>
      <c r="E30" s="125"/>
      <c r="F30" s="125"/>
      <c r="G30" s="125"/>
      <c r="H30" s="125"/>
      <c r="I30" s="125"/>
      <c r="J30" s="125"/>
      <c r="K30" s="125"/>
      <c r="L30" s="147"/>
      <c r="M30" s="147"/>
      <c r="N30" s="147"/>
      <c r="O30" s="147"/>
      <c r="P30" s="115"/>
      <c r="Q30" s="120"/>
      <c r="R30" s="133"/>
    </row>
    <row r="31" spans="1:28" ht="32.25" customHeight="1" x14ac:dyDescent="0.3">
      <c r="A31" s="150"/>
      <c r="B31" s="124"/>
      <c r="C31" s="125"/>
      <c r="D31" s="125"/>
      <c r="E31" s="125"/>
      <c r="F31" s="125"/>
      <c r="G31" s="125"/>
      <c r="H31" s="125"/>
      <c r="I31" s="125"/>
      <c r="J31" s="125"/>
      <c r="K31" s="125"/>
      <c r="L31" s="147"/>
      <c r="M31" s="147"/>
      <c r="N31" s="147"/>
      <c r="O31" s="147"/>
      <c r="P31" s="115"/>
      <c r="Q31" s="120"/>
      <c r="R31" s="133"/>
    </row>
    <row r="32" spans="1:28" ht="32.25" customHeight="1" x14ac:dyDescent="0.3">
      <c r="A32" s="15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47"/>
      <c r="M32" s="147"/>
      <c r="N32" s="147"/>
      <c r="O32" s="147"/>
      <c r="P32" s="115"/>
      <c r="Q32" s="120"/>
      <c r="R32" s="133"/>
    </row>
    <row r="33" spans="1:28" ht="32.25" customHeight="1" x14ac:dyDescent="0.3">
      <c r="A33" s="150"/>
      <c r="B33" s="124"/>
      <c r="C33" s="125"/>
      <c r="D33" s="125"/>
      <c r="E33" s="125"/>
      <c r="F33" s="125"/>
      <c r="G33" s="125"/>
      <c r="H33" s="125"/>
      <c r="I33" s="125"/>
      <c r="J33" s="125"/>
      <c r="K33" s="125"/>
      <c r="L33" s="147"/>
      <c r="M33" s="147"/>
      <c r="N33" s="147"/>
      <c r="O33" s="147"/>
      <c r="P33" s="115"/>
      <c r="Q33" s="120"/>
      <c r="R33" s="133"/>
    </row>
    <row r="34" spans="1:28" ht="32.25" customHeight="1" x14ac:dyDescent="0.3">
      <c r="A34" s="150"/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47"/>
      <c r="M34" s="147"/>
      <c r="N34" s="147"/>
      <c r="O34" s="147"/>
      <c r="P34" s="115"/>
      <c r="Q34" s="120"/>
      <c r="R34" s="133"/>
    </row>
    <row r="35" spans="1:28" ht="32.25" customHeight="1" x14ac:dyDescent="0.3">
      <c r="A35" s="150"/>
      <c r="B35" s="124"/>
      <c r="C35" s="125"/>
      <c r="D35" s="125"/>
      <c r="E35" s="125"/>
      <c r="F35" s="125"/>
      <c r="G35" s="125"/>
      <c r="H35" s="125"/>
      <c r="I35" s="125"/>
      <c r="J35" s="125"/>
      <c r="K35" s="125"/>
      <c r="L35" s="147"/>
      <c r="M35" s="147"/>
      <c r="N35" s="147"/>
      <c r="O35" s="147"/>
      <c r="P35" s="115"/>
      <c r="Q35" s="120"/>
      <c r="R35" s="133"/>
    </row>
    <row r="36" spans="1:28" ht="32.25" customHeight="1" x14ac:dyDescent="0.3">
      <c r="A36" s="150"/>
      <c r="B36" s="124"/>
      <c r="C36" s="125"/>
      <c r="D36" s="125"/>
      <c r="E36" s="125"/>
      <c r="F36" s="125"/>
      <c r="G36" s="125"/>
      <c r="H36" s="125"/>
      <c r="I36" s="125"/>
      <c r="J36" s="125"/>
      <c r="K36" s="125"/>
      <c r="L36" s="147"/>
      <c r="M36" s="147"/>
      <c r="N36" s="147"/>
      <c r="O36" s="147"/>
      <c r="P36" s="115"/>
      <c r="Q36" s="120"/>
      <c r="R36" s="133"/>
    </row>
    <row r="37" spans="1:28" ht="32.25" customHeight="1" x14ac:dyDescent="0.3">
      <c r="A37" s="150"/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47"/>
      <c r="M37" s="147"/>
      <c r="N37" s="147"/>
      <c r="O37" s="147"/>
      <c r="P37" s="115"/>
      <c r="Q37" s="120"/>
      <c r="R37" s="133"/>
    </row>
    <row r="38" spans="1:28" ht="32.25" customHeight="1" x14ac:dyDescent="0.3">
      <c r="A38" s="150"/>
      <c r="B38" s="124"/>
      <c r="C38" s="125"/>
      <c r="D38" s="125"/>
      <c r="E38" s="125"/>
      <c r="F38" s="125"/>
      <c r="G38" s="125"/>
      <c r="H38" s="125"/>
      <c r="I38" s="125"/>
      <c r="J38" s="125"/>
      <c r="K38" s="125"/>
      <c r="L38" s="147"/>
      <c r="M38" s="147"/>
      <c r="N38" s="147"/>
      <c r="O38" s="147"/>
      <c r="P38" s="115"/>
      <c r="Q38" s="120"/>
      <c r="R38" s="133"/>
    </row>
    <row r="39" spans="1:28" ht="32.25" customHeight="1" x14ac:dyDescent="0.3">
      <c r="A39" s="150"/>
      <c r="B39" s="124"/>
      <c r="C39" s="125"/>
      <c r="D39" s="125"/>
      <c r="E39" s="125"/>
      <c r="F39" s="125"/>
      <c r="G39" s="125"/>
      <c r="H39" s="125"/>
      <c r="I39" s="125"/>
      <c r="J39" s="125"/>
      <c r="K39" s="125"/>
      <c r="L39" s="147"/>
      <c r="M39" s="147"/>
      <c r="N39" s="147"/>
      <c r="O39" s="147"/>
      <c r="P39" s="115"/>
      <c r="Q39" s="120"/>
      <c r="R39" s="133"/>
    </row>
    <row r="40" spans="1:28" x14ac:dyDescent="0.3">
      <c r="B40" s="131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3"/>
    </row>
    <row r="41" spans="1:28" ht="15" thickBot="1" x14ac:dyDescent="0.35">
      <c r="B41" s="151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3"/>
    </row>
    <row r="42" spans="1:28" ht="36.75" customHeight="1" x14ac:dyDescent="0.3">
      <c r="B42" s="128" t="s">
        <v>252</v>
      </c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30"/>
      <c r="S42" s="105" t="s">
        <v>253</v>
      </c>
      <c r="T42" s="106"/>
      <c r="U42" s="106"/>
      <c r="V42" s="106"/>
      <c r="W42" s="106"/>
      <c r="X42" s="106"/>
      <c r="Y42" s="106"/>
      <c r="Z42" s="106"/>
      <c r="AA42" s="107"/>
    </row>
    <row r="43" spans="1:28" ht="36.75" customHeight="1" x14ac:dyDescent="0.3">
      <c r="B43" s="154"/>
      <c r="C43" s="155"/>
      <c r="D43" s="155"/>
      <c r="E43" s="155"/>
      <c r="F43" s="156" t="s">
        <v>56</v>
      </c>
      <c r="G43" s="156" t="s">
        <v>57</v>
      </c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7"/>
      <c r="S43" s="154"/>
      <c r="T43" s="155"/>
      <c r="U43" s="155"/>
      <c r="V43" s="155"/>
      <c r="W43" s="155"/>
      <c r="X43" s="155"/>
      <c r="Y43" s="155"/>
      <c r="Z43" s="155"/>
      <c r="AA43" s="157"/>
    </row>
    <row r="44" spans="1:28" ht="36.75" customHeight="1" x14ac:dyDescent="0.3">
      <c r="A44" s="158" t="s">
        <v>254</v>
      </c>
      <c r="B44" s="154"/>
      <c r="C44" s="155"/>
      <c r="D44" s="155"/>
      <c r="E44" s="132"/>
      <c r="F44" s="159" t="s">
        <v>59</v>
      </c>
      <c r="G44" s="160" t="s">
        <v>60</v>
      </c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7"/>
      <c r="S44" s="154"/>
      <c r="T44" s="155"/>
      <c r="U44" s="155"/>
      <c r="V44" s="155"/>
      <c r="W44" s="155"/>
      <c r="X44" s="155"/>
      <c r="Y44" s="155"/>
      <c r="Z44" s="155"/>
      <c r="AA44" s="157"/>
    </row>
    <row r="45" spans="1:28" ht="36.75" customHeight="1" x14ac:dyDescent="0.3">
      <c r="A45" s="158"/>
      <c r="B45" s="154"/>
      <c r="C45" s="155"/>
      <c r="D45" s="155"/>
      <c r="E45" s="132"/>
      <c r="F45" s="159" t="s">
        <v>59</v>
      </c>
      <c r="G45" s="132" t="s">
        <v>61</v>
      </c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7"/>
      <c r="S45" s="154"/>
      <c r="T45" s="155"/>
      <c r="U45" s="155"/>
      <c r="V45" s="155"/>
      <c r="W45" s="155"/>
      <c r="X45" s="155"/>
      <c r="Y45" s="155"/>
      <c r="Z45" s="155"/>
      <c r="AA45" s="157"/>
    </row>
    <row r="46" spans="1:28" ht="36.75" customHeight="1" x14ac:dyDescent="0.3">
      <c r="A46" s="158"/>
      <c r="B46" s="154"/>
      <c r="C46" s="155"/>
      <c r="D46" s="155"/>
      <c r="E46" s="132"/>
      <c r="F46" s="159" t="s">
        <v>59</v>
      </c>
      <c r="G46" s="132" t="s">
        <v>62</v>
      </c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7"/>
      <c r="S46" s="154"/>
      <c r="T46" s="155"/>
      <c r="U46" s="155"/>
      <c r="V46" s="155"/>
      <c r="W46" s="155"/>
      <c r="X46" s="155"/>
      <c r="Y46" s="155"/>
      <c r="Z46" s="155"/>
      <c r="AA46" s="157"/>
    </row>
    <row r="47" spans="1:28" ht="36.75" customHeight="1" x14ac:dyDescent="0.3">
      <c r="A47" s="158"/>
      <c r="B47" s="154"/>
      <c r="C47" s="155"/>
      <c r="D47" s="155"/>
      <c r="E47" s="132"/>
      <c r="F47" s="159" t="s">
        <v>59</v>
      </c>
      <c r="G47" s="132" t="s">
        <v>63</v>
      </c>
      <c r="H47" s="155"/>
      <c r="I47" s="155"/>
      <c r="J47" s="155"/>
      <c r="K47" s="155"/>
      <c r="L47" s="2"/>
      <c r="M47" s="155"/>
      <c r="N47" s="155"/>
      <c r="O47" s="155"/>
      <c r="P47" s="155"/>
      <c r="Q47" s="155"/>
      <c r="R47" s="155"/>
      <c r="S47" s="157"/>
      <c r="T47" s="154"/>
      <c r="U47" s="155"/>
      <c r="V47" s="155"/>
      <c r="W47" s="155"/>
      <c r="X47" s="155"/>
      <c r="Y47" s="155"/>
      <c r="Z47" s="155"/>
      <c r="AA47" s="155"/>
      <c r="AB47" s="157"/>
    </row>
    <row r="48" spans="1:28" ht="36.75" customHeight="1" x14ac:dyDescent="0.3">
      <c r="A48" s="158"/>
      <c r="B48" s="154"/>
      <c r="C48" s="132"/>
      <c r="D48" s="132"/>
      <c r="E48" s="132"/>
      <c r="F48" s="132"/>
      <c r="G48" s="132"/>
      <c r="H48" s="132"/>
      <c r="I48" s="132"/>
      <c r="J48" s="132"/>
      <c r="K48" s="132"/>
      <c r="L48" s="2"/>
      <c r="M48" s="132"/>
      <c r="N48" s="132"/>
      <c r="O48" s="132"/>
      <c r="P48" s="132"/>
      <c r="Q48" s="132"/>
      <c r="R48" s="132"/>
      <c r="S48" s="133"/>
      <c r="T48" s="154"/>
      <c r="U48" s="155"/>
      <c r="V48" s="155"/>
      <c r="W48" s="155"/>
      <c r="X48" s="155"/>
      <c r="Y48" s="155"/>
      <c r="Z48" s="155"/>
      <c r="AA48" s="155"/>
      <c r="AB48" s="157"/>
    </row>
    <row r="49" spans="1:27" ht="36.75" customHeight="1" x14ac:dyDescent="0.3">
      <c r="A49" s="158"/>
      <c r="B49" s="154"/>
      <c r="C49" s="155" t="s">
        <v>158</v>
      </c>
      <c r="D49" s="155" t="s">
        <v>159</v>
      </c>
      <c r="E49" s="155" t="s">
        <v>160</v>
      </c>
      <c r="F49" s="155" t="s">
        <v>164</v>
      </c>
      <c r="G49" s="155" t="s">
        <v>165</v>
      </c>
      <c r="H49" s="155" t="s">
        <v>161</v>
      </c>
      <c r="I49" s="155"/>
      <c r="J49" s="155"/>
      <c r="K49" s="155"/>
      <c r="L49" s="155"/>
      <c r="M49" s="155"/>
      <c r="N49" s="155"/>
      <c r="O49" s="155"/>
      <c r="P49" s="155"/>
      <c r="Q49" s="155"/>
      <c r="R49" s="157"/>
      <c r="S49" s="154"/>
      <c r="T49" s="155"/>
      <c r="U49" s="155"/>
      <c r="V49" s="155"/>
      <c r="W49" s="155"/>
      <c r="X49" s="155"/>
      <c r="Y49" s="155"/>
      <c r="Z49" s="155"/>
      <c r="AA49" s="157"/>
    </row>
    <row r="50" spans="1:27" ht="36.75" customHeight="1" x14ac:dyDescent="0.3">
      <c r="A50" s="158"/>
      <c r="B50" s="154"/>
      <c r="C50" s="155">
        <v>1</v>
      </c>
      <c r="D50" s="155"/>
      <c r="E50" s="155"/>
      <c r="F50" s="155"/>
      <c r="G50" s="155"/>
      <c r="H50" s="155" t="s">
        <v>166</v>
      </c>
      <c r="I50" s="155"/>
      <c r="J50" s="155"/>
      <c r="K50" s="155"/>
      <c r="L50" s="155"/>
      <c r="M50" s="155"/>
      <c r="N50" s="155"/>
      <c r="O50" s="155"/>
      <c r="P50" s="155"/>
      <c r="Q50" s="155"/>
      <c r="R50" s="157"/>
      <c r="S50" s="154"/>
      <c r="T50" s="155"/>
      <c r="U50" s="155"/>
      <c r="V50" s="155"/>
      <c r="W50" s="155"/>
      <c r="X50" s="155"/>
      <c r="Y50" s="155"/>
      <c r="Z50" s="155"/>
      <c r="AA50" s="157"/>
    </row>
    <row r="51" spans="1:27" ht="36.75" customHeight="1" x14ac:dyDescent="0.3">
      <c r="A51" s="158"/>
      <c r="B51" s="154"/>
      <c r="C51" s="155">
        <v>2</v>
      </c>
      <c r="D51" s="155">
        <f>AC47</f>
        <v>0</v>
      </c>
      <c r="E51" s="155">
        <f>AC48</f>
        <v>0</v>
      </c>
      <c r="F51" s="155">
        <f>AB49</f>
        <v>0</v>
      </c>
      <c r="G51" s="155">
        <f>AB50</f>
        <v>0</v>
      </c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7"/>
      <c r="S51" s="154"/>
      <c r="T51" s="155"/>
      <c r="U51" s="155"/>
      <c r="V51" s="155"/>
      <c r="W51" s="155"/>
      <c r="X51" s="155"/>
      <c r="Y51" s="155"/>
      <c r="Z51" s="155"/>
      <c r="AA51" s="157"/>
    </row>
    <row r="52" spans="1:27" ht="36.75" customHeight="1" x14ac:dyDescent="0.3">
      <c r="B52" s="154"/>
      <c r="C52" s="155">
        <v>3</v>
      </c>
      <c r="D52" s="155">
        <f>AB51</f>
        <v>0</v>
      </c>
      <c r="E52" s="155">
        <f>AB52</f>
        <v>0</v>
      </c>
      <c r="F52" s="155">
        <f>AB53</f>
        <v>0</v>
      </c>
      <c r="G52" s="155">
        <f>AB54</f>
        <v>0</v>
      </c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7"/>
      <c r="S52" s="154"/>
      <c r="T52" s="155"/>
      <c r="U52" s="155"/>
      <c r="W52" s="155"/>
      <c r="X52" s="155"/>
      <c r="Y52" s="155"/>
      <c r="Z52" s="155"/>
      <c r="AA52" s="157"/>
    </row>
    <row r="53" spans="1:27" ht="36.75" customHeight="1" x14ac:dyDescent="0.3">
      <c r="B53" s="154"/>
      <c r="C53" s="155">
        <v>4</v>
      </c>
      <c r="D53" s="155">
        <f>AB55</f>
        <v>0</v>
      </c>
      <c r="E53" s="155">
        <f>AB56</f>
        <v>0</v>
      </c>
      <c r="F53" s="155">
        <f>AB57</f>
        <v>0</v>
      </c>
      <c r="G53" s="155">
        <f>AB58</f>
        <v>0</v>
      </c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7"/>
      <c r="S53" s="154"/>
      <c r="T53" s="155"/>
      <c r="U53" s="155"/>
      <c r="V53" s="155"/>
      <c r="W53" s="155"/>
      <c r="X53" s="155"/>
      <c r="Y53" s="155"/>
      <c r="Z53" s="155"/>
      <c r="AA53" s="157"/>
    </row>
    <row r="54" spans="1:27" ht="36.75" customHeight="1" x14ac:dyDescent="0.3">
      <c r="B54" s="154"/>
      <c r="C54" s="155">
        <v>5</v>
      </c>
      <c r="D54" s="155">
        <f>AB59</f>
        <v>0</v>
      </c>
      <c r="E54" s="155">
        <f>AB60</f>
        <v>0</v>
      </c>
      <c r="F54" s="155">
        <f>AB61</f>
        <v>0</v>
      </c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7"/>
      <c r="S54" s="154"/>
      <c r="T54" s="155"/>
      <c r="U54" s="155"/>
      <c r="V54" s="155"/>
      <c r="W54" s="155"/>
      <c r="X54" s="155"/>
      <c r="Y54" s="155"/>
      <c r="Z54" s="155"/>
      <c r="AA54" s="157"/>
    </row>
    <row r="55" spans="1:27" ht="36.75" customHeight="1" x14ac:dyDescent="0.3">
      <c r="B55" s="154"/>
      <c r="C55" s="155">
        <v>6</v>
      </c>
      <c r="D55" s="155">
        <f>AB63</f>
        <v>0</v>
      </c>
      <c r="E55" s="155">
        <f>AB64</f>
        <v>0</v>
      </c>
      <c r="F55" s="155">
        <f>AB65</f>
        <v>0</v>
      </c>
      <c r="G55" s="155">
        <f>AB66</f>
        <v>0</v>
      </c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7"/>
      <c r="S55" s="154"/>
      <c r="T55" s="155"/>
      <c r="U55" s="155"/>
      <c r="V55" s="155"/>
      <c r="W55" s="155"/>
      <c r="X55" s="155"/>
      <c r="Y55" s="155"/>
      <c r="Z55" s="155"/>
      <c r="AA55" s="157"/>
    </row>
    <row r="56" spans="1:27" ht="36.75" customHeight="1" x14ac:dyDescent="0.3">
      <c r="B56" s="154"/>
      <c r="C56" s="155">
        <v>7</v>
      </c>
      <c r="D56" s="155">
        <f>AB67</f>
        <v>0</v>
      </c>
      <c r="E56" s="155">
        <f>AB68</f>
        <v>0</v>
      </c>
      <c r="F56" s="155">
        <f>AB69</f>
        <v>0</v>
      </c>
      <c r="G56" s="155">
        <f>AB70</f>
        <v>0</v>
      </c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7"/>
      <c r="S56" s="154"/>
      <c r="T56" s="155"/>
      <c r="U56" s="155"/>
      <c r="V56" s="155"/>
      <c r="W56" s="155"/>
      <c r="X56" s="155"/>
      <c r="Y56" s="155"/>
      <c r="Z56" s="155"/>
      <c r="AA56" s="157"/>
    </row>
    <row r="57" spans="1:27" ht="36.75" customHeight="1" x14ac:dyDescent="0.3">
      <c r="B57" s="154"/>
      <c r="C57" s="155">
        <v>8</v>
      </c>
      <c r="D57" s="155">
        <f>AB71</f>
        <v>0</v>
      </c>
      <c r="E57" s="155">
        <f>AB72</f>
        <v>0</v>
      </c>
      <c r="F57" s="155">
        <f>AB73</f>
        <v>0</v>
      </c>
      <c r="G57" s="155">
        <f>AB74</f>
        <v>0</v>
      </c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7"/>
      <c r="S57" s="154"/>
      <c r="T57" s="155"/>
      <c r="U57" s="155"/>
      <c r="V57" s="155"/>
      <c r="W57" s="155"/>
      <c r="X57" s="155"/>
      <c r="Y57" s="155"/>
      <c r="Z57" s="155"/>
      <c r="AA57" s="157"/>
    </row>
    <row r="58" spans="1:27" ht="36.75" customHeight="1" x14ac:dyDescent="0.3">
      <c r="B58" s="154"/>
      <c r="C58" s="155">
        <v>9</v>
      </c>
      <c r="D58" s="155">
        <f>AB75</f>
        <v>0</v>
      </c>
      <c r="E58" s="155">
        <f>AB76</f>
        <v>0</v>
      </c>
      <c r="F58" s="155">
        <f>AB77</f>
        <v>0</v>
      </c>
      <c r="G58" s="155">
        <f>AB78</f>
        <v>0</v>
      </c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7"/>
      <c r="S58" s="154"/>
      <c r="T58" s="155"/>
      <c r="U58" s="155"/>
      <c r="V58" s="155"/>
      <c r="W58" s="155"/>
      <c r="X58" s="155"/>
      <c r="Y58" s="155"/>
      <c r="Z58" s="155"/>
      <c r="AA58" s="157"/>
    </row>
    <row r="59" spans="1:27" ht="36.75" customHeight="1" x14ac:dyDescent="0.3">
      <c r="B59" s="154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7"/>
      <c r="S59" s="154"/>
      <c r="T59" s="155"/>
      <c r="U59" s="155"/>
      <c r="V59" s="155"/>
      <c r="W59" s="155"/>
      <c r="X59" s="155"/>
      <c r="Y59" s="155"/>
      <c r="Z59" s="155"/>
      <c r="AA59" s="157"/>
    </row>
    <row r="60" spans="1:27" ht="36.75" customHeight="1" x14ac:dyDescent="0.3">
      <c r="B60" s="154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7"/>
      <c r="S60" s="154"/>
      <c r="T60" s="155"/>
      <c r="U60" s="155"/>
      <c r="V60" s="155"/>
      <c r="W60" s="155"/>
      <c r="X60" s="155"/>
      <c r="Y60" s="155"/>
      <c r="Z60" s="155"/>
      <c r="AA60" s="157"/>
    </row>
    <row r="61" spans="1:27" ht="36.75" customHeight="1" x14ac:dyDescent="0.3">
      <c r="B61" s="154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7"/>
      <c r="S61" s="154"/>
      <c r="T61" s="155"/>
      <c r="U61" s="155"/>
      <c r="V61" s="155"/>
      <c r="W61" s="155"/>
      <c r="X61" s="155"/>
      <c r="Y61" s="155"/>
      <c r="Z61" s="155"/>
      <c r="AA61" s="157"/>
    </row>
    <row r="62" spans="1:27" ht="36.75" customHeight="1" x14ac:dyDescent="0.3">
      <c r="B62" s="154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7"/>
      <c r="S62" s="154"/>
      <c r="T62" s="155"/>
      <c r="U62" s="155"/>
      <c r="V62" s="155"/>
      <c r="W62" s="155"/>
      <c r="X62" s="155"/>
      <c r="Y62" s="155"/>
      <c r="Z62" s="155"/>
      <c r="AA62" s="157"/>
    </row>
    <row r="63" spans="1:27" ht="36.75" customHeight="1" x14ac:dyDescent="0.3">
      <c r="B63" s="154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7"/>
      <c r="S63" s="154"/>
      <c r="T63" s="155"/>
      <c r="U63" s="155"/>
      <c r="V63" s="155"/>
      <c r="W63" s="155"/>
      <c r="X63" s="155"/>
      <c r="Y63" s="155"/>
      <c r="Z63" s="155"/>
      <c r="AA63" s="157"/>
    </row>
    <row r="64" spans="1:27" ht="36.75" customHeight="1" x14ac:dyDescent="0.3">
      <c r="B64" s="154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7"/>
      <c r="S64" s="154"/>
      <c r="T64" s="155"/>
      <c r="U64" s="155"/>
      <c r="V64" s="155"/>
      <c r="W64" s="155"/>
      <c r="X64" s="155"/>
      <c r="Y64" s="155"/>
      <c r="Z64" s="155"/>
      <c r="AA64" s="157"/>
    </row>
    <row r="65" spans="2:27" ht="36.75" customHeight="1" x14ac:dyDescent="0.3">
      <c r="B65" s="154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7"/>
      <c r="S65" s="154"/>
      <c r="T65" s="155"/>
      <c r="U65" s="155"/>
      <c r="V65" s="155"/>
      <c r="W65" s="155"/>
      <c r="X65" s="155"/>
      <c r="Y65" s="155"/>
      <c r="Z65" s="155"/>
      <c r="AA65" s="157"/>
    </row>
    <row r="66" spans="2:27" ht="36.75" customHeight="1" x14ac:dyDescent="0.3">
      <c r="B66" s="154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7"/>
      <c r="S66" s="154"/>
      <c r="T66" s="155"/>
      <c r="U66" s="155"/>
      <c r="V66" s="155"/>
      <c r="W66" s="155"/>
      <c r="X66" s="155"/>
      <c r="Y66" s="155"/>
      <c r="Z66" s="155"/>
      <c r="AA66" s="157"/>
    </row>
    <row r="67" spans="2:27" ht="36.75" customHeight="1" x14ac:dyDescent="0.3">
      <c r="B67" s="154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7"/>
      <c r="S67" s="154"/>
      <c r="T67" s="155"/>
      <c r="U67" s="155"/>
      <c r="V67" s="155"/>
      <c r="W67" s="155"/>
      <c r="X67" s="155"/>
      <c r="Y67" s="155"/>
      <c r="Z67" s="155"/>
      <c r="AA67" s="157"/>
    </row>
    <row r="68" spans="2:27" ht="36.75" customHeight="1" x14ac:dyDescent="0.3">
      <c r="B68" s="154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7"/>
      <c r="S68" s="154"/>
      <c r="T68" s="155"/>
      <c r="U68" s="155"/>
      <c r="V68" s="155"/>
      <c r="W68" s="155"/>
      <c r="X68" s="155"/>
      <c r="Y68" s="155"/>
      <c r="Z68" s="155"/>
      <c r="AA68" s="157"/>
    </row>
    <row r="69" spans="2:27" ht="36.75" customHeight="1" x14ac:dyDescent="0.3">
      <c r="B69" s="154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7"/>
      <c r="S69" s="154"/>
      <c r="T69" s="155"/>
      <c r="U69" s="155"/>
      <c r="V69" s="155"/>
      <c r="W69" s="155"/>
      <c r="X69" s="155"/>
      <c r="Y69" s="155"/>
      <c r="Z69" s="155"/>
      <c r="AA69" s="157"/>
    </row>
    <row r="70" spans="2:27" ht="36.75" customHeight="1" x14ac:dyDescent="0.3">
      <c r="B70" s="154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7"/>
      <c r="S70" s="154"/>
      <c r="T70" s="155"/>
      <c r="U70" s="155"/>
      <c r="V70" s="155"/>
      <c r="W70" s="155"/>
      <c r="X70" s="155"/>
      <c r="Y70" s="155"/>
      <c r="Z70" s="155"/>
      <c r="AA70" s="157"/>
    </row>
    <row r="71" spans="2:27" ht="36.75" customHeight="1" x14ac:dyDescent="0.3">
      <c r="B71" s="154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7"/>
      <c r="S71" s="154"/>
      <c r="T71" s="155"/>
      <c r="U71" s="155"/>
      <c r="V71" s="155"/>
      <c r="W71" s="155"/>
      <c r="X71" s="155"/>
      <c r="Y71" s="155"/>
      <c r="Z71" s="155"/>
      <c r="AA71" s="157"/>
    </row>
    <row r="72" spans="2:27" ht="36.75" customHeight="1" x14ac:dyDescent="0.3">
      <c r="B72" s="154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7"/>
      <c r="S72" s="154"/>
      <c r="T72" s="155"/>
      <c r="U72" s="155"/>
      <c r="V72" s="155"/>
      <c r="W72" s="155"/>
      <c r="X72" s="155"/>
      <c r="Y72" s="155"/>
      <c r="Z72" s="155"/>
      <c r="AA72" s="157"/>
    </row>
    <row r="73" spans="2:27" ht="36.75" customHeight="1" x14ac:dyDescent="0.3">
      <c r="B73" s="154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7"/>
      <c r="S73" s="154"/>
      <c r="T73" s="155"/>
      <c r="U73" s="155"/>
      <c r="V73" s="155"/>
      <c r="W73" s="155"/>
      <c r="X73" s="155"/>
      <c r="Y73" s="155"/>
      <c r="Z73" s="155"/>
      <c r="AA73" s="157"/>
    </row>
    <row r="74" spans="2:27" ht="36.75" customHeight="1" x14ac:dyDescent="0.3">
      <c r="B74" s="154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7"/>
      <c r="S74" s="154"/>
      <c r="T74" s="155"/>
      <c r="U74" s="155"/>
      <c r="V74" s="155"/>
      <c r="W74" s="155"/>
      <c r="X74" s="155"/>
      <c r="Y74" s="155"/>
      <c r="Z74" s="155"/>
      <c r="AA74" s="157"/>
    </row>
    <row r="75" spans="2:27" ht="36.75" customHeight="1" x14ac:dyDescent="0.3">
      <c r="B75" s="154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7"/>
      <c r="S75" s="154"/>
      <c r="T75" s="155"/>
      <c r="U75" s="155"/>
      <c r="V75" s="155"/>
      <c r="W75" s="155"/>
      <c r="X75" s="155"/>
      <c r="Y75" s="155"/>
      <c r="Z75" s="155"/>
      <c r="AA75" s="157"/>
    </row>
    <row r="76" spans="2:27" ht="36.75" customHeight="1" x14ac:dyDescent="0.3">
      <c r="B76" s="154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7"/>
      <c r="S76" s="154"/>
      <c r="T76" s="155"/>
      <c r="U76" s="155"/>
      <c r="V76" s="155"/>
      <c r="W76" s="155"/>
      <c r="X76" s="155"/>
      <c r="Y76" s="155"/>
      <c r="Z76" s="155"/>
      <c r="AA76" s="157"/>
    </row>
    <row r="77" spans="2:27" ht="36.75" customHeight="1" x14ac:dyDescent="0.3">
      <c r="B77" s="154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7"/>
      <c r="S77" s="154"/>
      <c r="T77" s="155"/>
      <c r="U77" s="155"/>
      <c r="V77" s="155"/>
      <c r="W77" s="155"/>
      <c r="X77" s="155"/>
      <c r="Y77" s="155"/>
      <c r="Z77" s="155"/>
      <c r="AA77" s="157"/>
    </row>
    <row r="78" spans="2:27" ht="36.75" customHeight="1" x14ac:dyDescent="0.3">
      <c r="B78" s="154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7"/>
      <c r="S78" s="154"/>
      <c r="T78" s="155"/>
      <c r="U78" s="155"/>
      <c r="V78" s="155"/>
      <c r="W78" s="155"/>
      <c r="X78" s="155"/>
      <c r="Y78" s="155"/>
      <c r="Z78" s="155"/>
      <c r="AA78" s="157"/>
    </row>
    <row r="79" spans="2:27" ht="36.75" customHeight="1" x14ac:dyDescent="0.3">
      <c r="B79" s="154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7"/>
      <c r="S79" s="154"/>
      <c r="T79" s="155"/>
      <c r="U79" s="155"/>
      <c r="V79" s="155"/>
      <c r="W79" s="155"/>
      <c r="X79" s="155"/>
      <c r="Y79" s="155"/>
      <c r="Z79" s="155"/>
      <c r="AA79" s="157"/>
    </row>
    <row r="80" spans="2:27" ht="36.75" customHeight="1" x14ac:dyDescent="0.3">
      <c r="B80" s="154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7"/>
      <c r="S80" s="154"/>
      <c r="T80" s="155"/>
      <c r="U80" s="155"/>
      <c r="V80" s="155"/>
      <c r="W80" s="155"/>
      <c r="X80" s="155"/>
      <c r="Y80" s="155"/>
      <c r="Z80" s="155"/>
      <c r="AA80" s="157"/>
    </row>
    <row r="81" spans="2:27" ht="36.75" customHeight="1" thickBot="1" x14ac:dyDescent="0.35">
      <c r="B81" s="154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7"/>
      <c r="S81" s="161"/>
      <c r="T81" s="162"/>
      <c r="U81" s="162"/>
      <c r="V81" s="162"/>
      <c r="W81" s="162"/>
      <c r="X81" s="162"/>
      <c r="Y81" s="162"/>
      <c r="Z81" s="162"/>
      <c r="AA81" s="163"/>
    </row>
    <row r="82" spans="2:27" ht="36.75" customHeight="1" thickBot="1" x14ac:dyDescent="0.35">
      <c r="B82" s="164" t="s">
        <v>255</v>
      </c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6"/>
      <c r="S82" s="128"/>
      <c r="T82" s="129"/>
      <c r="U82" s="129"/>
      <c r="V82" s="129"/>
      <c r="W82" s="129"/>
      <c r="X82" s="129"/>
      <c r="Y82" s="129"/>
      <c r="Z82" s="129"/>
      <c r="AA82" s="129"/>
    </row>
    <row r="83" spans="2:27" ht="36.75" customHeight="1" thickBot="1" x14ac:dyDescent="0.35">
      <c r="B83" s="167"/>
      <c r="C83" s="168"/>
      <c r="D83" s="168"/>
      <c r="E83" s="168"/>
      <c r="F83" s="168"/>
      <c r="G83" s="168"/>
      <c r="H83" s="168"/>
      <c r="I83" s="168"/>
      <c r="J83" s="168"/>
      <c r="K83" s="168"/>
      <c r="L83" s="169"/>
      <c r="M83" s="169"/>
      <c r="N83" s="169"/>
      <c r="O83" s="169"/>
      <c r="P83" s="169"/>
      <c r="Q83" s="132"/>
      <c r="R83" s="133"/>
      <c r="T83" s="170"/>
      <c r="U83" s="171" t="s">
        <v>256</v>
      </c>
      <c r="V83" s="172">
        <v>2</v>
      </c>
      <c r="W83" s="173"/>
    </row>
    <row r="84" spans="2:27" ht="36.75" customHeight="1" thickBot="1" x14ac:dyDescent="0.35">
      <c r="B84" s="167"/>
      <c r="C84" s="168"/>
      <c r="D84" s="168"/>
      <c r="E84" s="168"/>
      <c r="F84" s="168"/>
      <c r="G84" s="168"/>
      <c r="H84" s="168"/>
      <c r="I84" s="168"/>
      <c r="J84" s="168"/>
      <c r="K84" s="168"/>
      <c r="L84" s="169"/>
      <c r="M84" s="169"/>
      <c r="N84" s="169"/>
      <c r="O84" s="169"/>
      <c r="P84" s="169"/>
      <c r="Q84" s="132"/>
      <c r="R84" s="133"/>
      <c r="T84" s="174"/>
      <c r="U84" s="175"/>
      <c r="V84" s="175"/>
      <c r="W84" s="176"/>
    </row>
    <row r="85" spans="2:27" ht="36.75" customHeight="1" x14ac:dyDescent="0.3">
      <c r="B85" s="167"/>
      <c r="C85" s="168"/>
      <c r="D85" s="168"/>
      <c r="E85" s="168"/>
      <c r="F85" s="168"/>
      <c r="G85" s="168"/>
      <c r="H85" s="168"/>
      <c r="I85" s="168"/>
      <c r="J85" s="168"/>
      <c r="K85" s="168"/>
      <c r="L85" s="169"/>
      <c r="M85" s="169"/>
      <c r="N85" s="169"/>
      <c r="O85" s="169"/>
      <c r="P85" s="169"/>
      <c r="Q85" s="132"/>
      <c r="R85" s="133"/>
      <c r="T85" s="174"/>
      <c r="U85" s="177" t="s">
        <v>257</v>
      </c>
      <c r="V85" s="178" t="s">
        <v>258</v>
      </c>
      <c r="W85" s="176"/>
    </row>
    <row r="86" spans="2:27" ht="36.75" customHeight="1" x14ac:dyDescent="0.3">
      <c r="B86" s="167"/>
      <c r="C86" s="168"/>
      <c r="D86" s="168"/>
      <c r="E86" s="168"/>
      <c r="F86" s="168"/>
      <c r="G86" s="168"/>
      <c r="H86" s="168"/>
      <c r="I86" s="168"/>
      <c r="J86" s="168"/>
      <c r="K86" s="168"/>
      <c r="L86" s="169"/>
      <c r="M86" s="169"/>
      <c r="N86" s="169"/>
      <c r="O86" s="169"/>
      <c r="P86" s="169"/>
      <c r="Q86" s="132"/>
      <c r="R86" s="133"/>
      <c r="T86" s="174"/>
      <c r="U86" s="179" t="s">
        <v>259</v>
      </c>
      <c r="V86" s="120">
        <v>18</v>
      </c>
      <c r="W86" s="176"/>
    </row>
    <row r="87" spans="2:27" ht="36.75" customHeight="1" thickBot="1" x14ac:dyDescent="0.35">
      <c r="B87" s="167"/>
      <c r="C87" s="168"/>
      <c r="D87" s="168"/>
      <c r="E87" s="168"/>
      <c r="F87" s="168"/>
      <c r="G87" s="168"/>
      <c r="H87" s="168"/>
      <c r="I87" s="168"/>
      <c r="J87" s="168"/>
      <c r="K87" s="168"/>
      <c r="L87" s="169"/>
      <c r="M87" s="169"/>
      <c r="N87" s="169"/>
      <c r="O87" s="169"/>
      <c r="P87" s="169"/>
      <c r="Q87" s="132"/>
      <c r="R87" s="133"/>
      <c r="T87" s="174"/>
      <c r="U87" s="180" t="s">
        <v>260</v>
      </c>
      <c r="V87" s="181">
        <v>4</v>
      </c>
      <c r="W87" s="176"/>
    </row>
    <row r="88" spans="2:27" ht="36.75" customHeight="1" thickBot="1" x14ac:dyDescent="0.35">
      <c r="B88" s="167"/>
      <c r="C88" s="168"/>
      <c r="D88" s="168"/>
      <c r="E88" s="168"/>
      <c r="F88" s="168"/>
      <c r="G88" s="168"/>
      <c r="H88" s="168"/>
      <c r="I88" s="168"/>
      <c r="J88" s="168"/>
      <c r="K88" s="168"/>
      <c r="L88" s="169"/>
      <c r="M88" s="169"/>
      <c r="N88" s="169"/>
      <c r="O88" s="169"/>
      <c r="P88" s="169"/>
      <c r="Q88" s="132"/>
      <c r="R88" s="133"/>
      <c r="T88" s="174"/>
      <c r="U88" s="175"/>
      <c r="V88" s="175"/>
      <c r="W88" s="176"/>
    </row>
    <row r="89" spans="2:27" ht="36.75" customHeight="1" x14ac:dyDescent="0.3">
      <c r="B89" s="167"/>
      <c r="C89" s="168"/>
      <c r="D89" s="168"/>
      <c r="E89" s="168"/>
      <c r="F89" s="168"/>
      <c r="G89" s="168"/>
      <c r="H89" s="168"/>
      <c r="I89" s="168"/>
      <c r="J89" s="168"/>
      <c r="K89" s="168"/>
      <c r="L89" s="169"/>
      <c r="M89" s="169"/>
      <c r="N89" s="169"/>
      <c r="O89" s="169"/>
      <c r="P89" s="169"/>
      <c r="Q89" s="132"/>
      <c r="R89" s="133"/>
      <c r="T89" s="174"/>
      <c r="U89" s="177" t="s">
        <v>257</v>
      </c>
      <c r="V89" s="178" t="s">
        <v>207</v>
      </c>
      <c r="W89" s="176"/>
    </row>
    <row r="90" spans="2:27" ht="36.75" customHeight="1" x14ac:dyDescent="0.3">
      <c r="B90" s="167"/>
      <c r="C90" s="168"/>
      <c r="D90" s="168"/>
      <c r="E90" s="168"/>
      <c r="F90" s="168"/>
      <c r="G90" s="168"/>
      <c r="H90" s="168"/>
      <c r="I90" s="168"/>
      <c r="J90" s="168"/>
      <c r="K90" s="168"/>
      <c r="L90" s="169"/>
      <c r="M90" s="169"/>
      <c r="N90" s="169"/>
      <c r="O90" s="169"/>
      <c r="P90" s="169"/>
      <c r="Q90" s="132"/>
      <c r="R90" s="133"/>
      <c r="T90" s="174"/>
      <c r="U90" s="182" t="s">
        <v>260</v>
      </c>
      <c r="V90" s="120"/>
      <c r="W90" s="176"/>
    </row>
    <row r="91" spans="2:27" ht="36.75" customHeight="1" x14ac:dyDescent="0.3">
      <c r="B91" s="167"/>
      <c r="C91" s="168"/>
      <c r="D91" s="168"/>
      <c r="E91" s="168"/>
      <c r="F91" s="168"/>
      <c r="G91" s="168"/>
      <c r="H91" s="168"/>
      <c r="I91" s="168"/>
      <c r="J91" s="168"/>
      <c r="K91" s="168"/>
      <c r="L91" s="169"/>
      <c r="M91" s="169"/>
      <c r="N91" s="169"/>
      <c r="O91" s="169"/>
      <c r="P91" s="169"/>
      <c r="Q91" s="132"/>
      <c r="R91" s="133"/>
      <c r="T91" s="174"/>
      <c r="U91" s="182" t="s">
        <v>261</v>
      </c>
      <c r="V91" s="120"/>
      <c r="W91" s="176"/>
    </row>
    <row r="92" spans="2:27" ht="36.75" customHeight="1" x14ac:dyDescent="0.3">
      <c r="B92" s="167"/>
      <c r="C92" s="168"/>
      <c r="D92" s="168"/>
      <c r="E92" s="168"/>
      <c r="F92" s="168"/>
      <c r="G92" s="168"/>
      <c r="H92" s="168"/>
      <c r="I92" s="168"/>
      <c r="J92" s="168"/>
      <c r="K92" s="168"/>
      <c r="L92" s="169"/>
      <c r="M92" s="169"/>
      <c r="N92" s="169"/>
      <c r="O92" s="169"/>
      <c r="P92" s="169"/>
      <c r="Q92" s="132"/>
      <c r="R92" s="133"/>
      <c r="T92" s="174"/>
      <c r="U92" s="183" t="s">
        <v>262</v>
      </c>
      <c r="V92" s="120"/>
      <c r="W92" s="176"/>
    </row>
    <row r="93" spans="2:27" ht="36.75" customHeight="1" thickBot="1" x14ac:dyDescent="0.35">
      <c r="B93" s="167"/>
      <c r="C93" s="168"/>
      <c r="D93" s="168"/>
      <c r="E93" s="168"/>
      <c r="F93" s="168"/>
      <c r="G93" s="168"/>
      <c r="H93" s="168"/>
      <c r="I93" s="168"/>
      <c r="J93" s="168"/>
      <c r="K93" s="168"/>
      <c r="L93" s="169"/>
      <c r="M93" s="169"/>
      <c r="N93" s="169"/>
      <c r="O93" s="169"/>
      <c r="P93" s="169"/>
      <c r="Q93" s="132"/>
      <c r="R93" s="133"/>
      <c r="T93" s="174"/>
      <c r="U93" s="180" t="s">
        <v>263</v>
      </c>
      <c r="V93" s="181"/>
      <c r="W93" s="176"/>
    </row>
    <row r="94" spans="2:27" ht="36.75" customHeight="1" thickBot="1" x14ac:dyDescent="0.35">
      <c r="B94" s="167"/>
      <c r="C94" s="168"/>
      <c r="D94" s="168"/>
      <c r="E94" s="168"/>
      <c r="F94" s="168"/>
      <c r="G94" s="168"/>
      <c r="H94" s="168"/>
      <c r="I94" s="168"/>
      <c r="J94" s="168"/>
      <c r="K94" s="168"/>
      <c r="L94" s="169"/>
      <c r="M94" s="169"/>
      <c r="N94" s="169"/>
      <c r="O94" s="169"/>
      <c r="P94" s="169"/>
      <c r="Q94" s="132"/>
      <c r="R94" s="133"/>
      <c r="T94" s="174"/>
      <c r="U94" s="175"/>
      <c r="V94" s="175"/>
      <c r="W94" s="176"/>
    </row>
    <row r="95" spans="2:27" ht="36.75" customHeight="1" x14ac:dyDescent="0.3">
      <c r="B95" s="167"/>
      <c r="C95" s="168"/>
      <c r="D95" s="168"/>
      <c r="E95" s="168"/>
      <c r="F95" s="168"/>
      <c r="G95" s="168"/>
      <c r="H95" s="168"/>
      <c r="I95" s="168"/>
      <c r="J95" s="168"/>
      <c r="K95" s="168"/>
      <c r="L95" s="169"/>
      <c r="M95" s="169"/>
      <c r="N95" s="169"/>
      <c r="O95" s="169"/>
      <c r="P95" s="169"/>
      <c r="Q95" s="132"/>
      <c r="R95" s="133"/>
      <c r="T95" s="174"/>
      <c r="U95" s="177" t="s">
        <v>257</v>
      </c>
      <c r="V95" s="178" t="s">
        <v>264</v>
      </c>
      <c r="W95" s="176"/>
    </row>
    <row r="96" spans="2:27" ht="36.75" customHeight="1" thickBot="1" x14ac:dyDescent="0.35">
      <c r="B96" s="167"/>
      <c r="C96" s="168"/>
      <c r="D96" s="168"/>
      <c r="E96" s="168"/>
      <c r="F96" s="168"/>
      <c r="G96" s="168"/>
      <c r="H96" s="168"/>
      <c r="I96" s="168"/>
      <c r="J96" s="168"/>
      <c r="K96" s="168"/>
      <c r="L96" s="169"/>
      <c r="M96" s="169"/>
      <c r="N96" s="169"/>
      <c r="O96" s="169"/>
      <c r="P96" s="169"/>
      <c r="Q96" s="132"/>
      <c r="R96" s="133"/>
      <c r="T96" s="174"/>
      <c r="U96" s="184" t="s">
        <v>263</v>
      </c>
      <c r="V96" s="181"/>
      <c r="W96" s="176"/>
    </row>
    <row r="97" spans="2:23" ht="36.75" customHeight="1" thickBot="1" x14ac:dyDescent="0.35">
      <c r="B97" s="167"/>
      <c r="C97" s="168"/>
      <c r="D97" s="168"/>
      <c r="E97" s="168"/>
      <c r="F97" s="168"/>
      <c r="G97" s="168"/>
      <c r="H97" s="168"/>
      <c r="I97" s="168"/>
      <c r="J97" s="168"/>
      <c r="K97" s="168"/>
      <c r="L97" s="169"/>
      <c r="M97" s="169"/>
      <c r="N97" s="169"/>
      <c r="O97" s="169"/>
      <c r="P97" s="169"/>
      <c r="Q97" s="132"/>
      <c r="R97" s="133"/>
      <c r="T97" s="174"/>
      <c r="U97" s="175"/>
      <c r="V97" s="175"/>
      <c r="W97" s="176"/>
    </row>
    <row r="98" spans="2:23" ht="36.75" customHeight="1" x14ac:dyDescent="0.3">
      <c r="B98" s="167"/>
      <c r="C98" s="168"/>
      <c r="D98" s="168"/>
      <c r="E98" s="168"/>
      <c r="F98" s="168"/>
      <c r="G98" s="168"/>
      <c r="H98" s="168"/>
      <c r="I98" s="168"/>
      <c r="J98" s="168"/>
      <c r="K98" s="168"/>
      <c r="L98" s="169"/>
      <c r="M98" s="169"/>
      <c r="N98" s="169"/>
      <c r="O98" s="169"/>
      <c r="P98" s="169"/>
      <c r="Q98" s="132"/>
      <c r="R98" s="133"/>
      <c r="T98" s="174"/>
      <c r="U98" s="177" t="s">
        <v>257</v>
      </c>
      <c r="V98" s="178" t="s">
        <v>206</v>
      </c>
      <c r="W98" s="176"/>
    </row>
    <row r="99" spans="2:23" ht="36.75" customHeight="1" x14ac:dyDescent="0.3">
      <c r="B99" s="167"/>
      <c r="C99" s="168"/>
      <c r="D99" s="168"/>
      <c r="E99" s="168"/>
      <c r="F99" s="168"/>
      <c r="G99" s="168"/>
      <c r="H99" s="168"/>
      <c r="I99" s="168"/>
      <c r="J99" s="168"/>
      <c r="K99" s="168"/>
      <c r="L99" s="169"/>
      <c r="M99" s="169"/>
      <c r="N99" s="169"/>
      <c r="O99" s="169"/>
      <c r="P99" s="169"/>
      <c r="Q99" s="132"/>
      <c r="R99" s="133"/>
      <c r="T99" s="174"/>
      <c r="U99" s="182" t="s">
        <v>265</v>
      </c>
      <c r="V99" s="120"/>
      <c r="W99" s="176"/>
    </row>
    <row r="100" spans="2:23" ht="36.75" customHeight="1" x14ac:dyDescent="0.3">
      <c r="B100" s="167"/>
      <c r="C100" s="168"/>
      <c r="D100" s="168"/>
      <c r="E100" s="168"/>
      <c r="F100" s="168"/>
      <c r="G100" s="168"/>
      <c r="H100" s="168"/>
      <c r="I100" s="168"/>
      <c r="J100" s="168"/>
      <c r="K100" s="168"/>
      <c r="L100" s="169"/>
      <c r="M100" s="169"/>
      <c r="N100" s="169"/>
      <c r="O100" s="169"/>
      <c r="P100" s="169"/>
      <c r="Q100" s="132"/>
      <c r="R100" s="133"/>
      <c r="T100" s="174"/>
      <c r="U100" s="179" t="s">
        <v>266</v>
      </c>
      <c r="V100" s="120"/>
      <c r="W100" s="176"/>
    </row>
    <row r="101" spans="2:23" ht="36.75" customHeight="1" thickBot="1" x14ac:dyDescent="0.35">
      <c r="B101" s="185"/>
      <c r="C101" s="186"/>
      <c r="D101" s="186"/>
      <c r="E101" s="186"/>
      <c r="F101" s="186"/>
      <c r="G101" s="186"/>
      <c r="H101" s="186"/>
      <c r="I101" s="186"/>
      <c r="J101" s="186"/>
      <c r="K101" s="186"/>
      <c r="L101" s="187"/>
      <c r="M101" s="187"/>
      <c r="N101" s="187"/>
      <c r="O101" s="187"/>
      <c r="P101" s="187"/>
      <c r="Q101" s="152"/>
      <c r="R101" s="153"/>
      <c r="T101" s="174"/>
      <c r="U101" s="182" t="s">
        <v>260</v>
      </c>
      <c r="V101" s="120"/>
      <c r="W101" s="176"/>
    </row>
    <row r="102" spans="2:23" ht="46.5" customHeight="1" thickBot="1" x14ac:dyDescent="0.35">
      <c r="B102" s="164" t="s">
        <v>161</v>
      </c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  <c r="M102" s="165" t="s">
        <v>267</v>
      </c>
      <c r="N102" s="165"/>
      <c r="O102" s="165"/>
      <c r="P102" s="165"/>
      <c r="Q102" s="165"/>
      <c r="R102" s="166"/>
      <c r="T102" s="174"/>
      <c r="U102" s="183" t="s">
        <v>268</v>
      </c>
      <c r="V102" s="120"/>
      <c r="W102" s="176"/>
    </row>
    <row r="103" spans="2:23" ht="39" customHeight="1" thickBot="1" x14ac:dyDescent="0.35">
      <c r="B103" s="188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90"/>
      <c r="N103" s="190"/>
      <c r="O103" s="190"/>
      <c r="P103" s="190"/>
      <c r="Q103" s="190"/>
      <c r="R103" s="191"/>
      <c r="T103" s="174"/>
      <c r="U103" s="184" t="s">
        <v>269</v>
      </c>
      <c r="V103" s="181"/>
      <c r="W103" s="176"/>
    </row>
    <row r="104" spans="2:23" ht="170.25" customHeight="1" thickBot="1" x14ac:dyDescent="0.35">
      <c r="B104" s="192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4"/>
      <c r="N104" s="194"/>
      <c r="O104" s="194"/>
      <c r="P104" s="194"/>
      <c r="Q104" s="194"/>
      <c r="R104" s="195"/>
      <c r="T104" s="196"/>
      <c r="U104" s="197"/>
      <c r="V104" s="197"/>
      <c r="W104" s="198"/>
    </row>
    <row r="105" spans="2:23" x14ac:dyDescent="0.3">
      <c r="B105" s="192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4"/>
      <c r="N105" s="194"/>
      <c r="O105" s="194"/>
      <c r="P105" s="194"/>
      <c r="Q105" s="194"/>
      <c r="R105" s="195"/>
    </row>
    <row r="106" spans="2:23" x14ac:dyDescent="0.3">
      <c r="B106" s="192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4"/>
      <c r="N106" s="194"/>
      <c r="O106" s="194"/>
      <c r="P106" s="194"/>
      <c r="Q106" s="194"/>
      <c r="R106" s="195"/>
    </row>
    <row r="107" spans="2:23" x14ac:dyDescent="0.3">
      <c r="B107" s="192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4"/>
      <c r="N107" s="194"/>
      <c r="O107" s="194"/>
      <c r="P107" s="194"/>
      <c r="Q107" s="194"/>
      <c r="R107" s="195"/>
    </row>
    <row r="108" spans="2:23" ht="15" thickBot="1" x14ac:dyDescent="0.35">
      <c r="B108" s="199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1"/>
      <c r="N108" s="201"/>
      <c r="O108" s="201"/>
      <c r="P108" s="201"/>
      <c r="Q108" s="201"/>
      <c r="R108" s="202"/>
    </row>
    <row r="109" spans="2:23" ht="158.1" customHeight="1" x14ac:dyDescent="0.3"/>
  </sheetData>
  <mergeCells count="20">
    <mergeCell ref="B103:L108"/>
    <mergeCell ref="M103:R108"/>
    <mergeCell ref="A44:A51"/>
    <mergeCell ref="B82:R82"/>
    <mergeCell ref="S82:AA82"/>
    <mergeCell ref="B83:K101"/>
    <mergeCell ref="B102:L102"/>
    <mergeCell ref="M102:R102"/>
    <mergeCell ref="B10:R10"/>
    <mergeCell ref="B15:R15"/>
    <mergeCell ref="B20:R20"/>
    <mergeCell ref="A25:A39"/>
    <mergeCell ref="B42:R42"/>
    <mergeCell ref="S42:AA42"/>
    <mergeCell ref="B3:R3"/>
    <mergeCell ref="B4:C4"/>
    <mergeCell ref="F4:Q4"/>
    <mergeCell ref="B5:C5"/>
    <mergeCell ref="F5:Q5"/>
    <mergeCell ref="B6:R6"/>
  </mergeCells>
  <conditionalFormatting sqref="B5:D5">
    <cfRule type="containsBlanks" dxfId="33" priority="22">
      <formula>LEN(TRIM(B5))=0</formula>
    </cfRule>
  </conditionalFormatting>
  <conditionalFormatting sqref="B16:R19">
    <cfRule type="expression" dxfId="31" priority="33">
      <formula>$D$13="BEP"</formula>
    </cfRule>
    <cfRule type="expression" dxfId="32" priority="34">
      <formula>$D$13="FIRST BOX"</formula>
    </cfRule>
  </conditionalFormatting>
  <conditionalFormatting sqref="C22:D22">
    <cfRule type="containsBlanks" dxfId="30" priority="28">
      <formula>LEN(TRIM(C22))=0</formula>
    </cfRule>
  </conditionalFormatting>
  <conditionalFormatting sqref="D5">
    <cfRule type="expression" dxfId="28" priority="23">
      <formula>AND(#REF!="LAST DROP",$F$47="ΝΑΙ")</formula>
    </cfRule>
    <cfRule type="expression" dxfId="29" priority="24">
      <formula>AND(#REF!="LAST DROP",$F$47&lt;&gt;"ΝΑΙ")</formula>
    </cfRule>
  </conditionalFormatting>
  <conditionalFormatting sqref="D13:F13">
    <cfRule type="containsBlanks" dxfId="27" priority="29">
      <formula>LEN(TRIM(D13))=0</formula>
    </cfRule>
  </conditionalFormatting>
  <conditionalFormatting sqref="D18:G18 D13:F13 C22:D22">
    <cfRule type="expression" dxfId="25" priority="31">
      <formula>AND(#REF!="LAST DROP",$F$47="ΝΑΙ")</formula>
    </cfRule>
    <cfRule type="expression" dxfId="26" priority="32">
      <formula>AND(#REF!="LAST DROP",$F$47&lt;&gt;"ΝΑΙ")</formula>
    </cfRule>
  </conditionalFormatting>
  <conditionalFormatting sqref="D18:G18">
    <cfRule type="containsBlanks" dxfId="24" priority="30">
      <formula>LEN(TRIM(D18))=0</formula>
    </cfRule>
  </conditionalFormatting>
  <conditionalFormatting sqref="F5">
    <cfRule type="containsBlanks" dxfId="21" priority="19">
      <formula>LEN(TRIM(F5))=0</formula>
    </cfRule>
    <cfRule type="expression" dxfId="22" priority="20">
      <formula>AND(#REF!="LAST DROP",$F$47="ΝΑΙ")</formula>
    </cfRule>
    <cfRule type="expression" dxfId="23" priority="21">
      <formula>AND(#REF!="LAST DROP",$F$47&lt;&gt;"ΝΑΙ")</formula>
    </cfRule>
  </conditionalFormatting>
  <conditionalFormatting sqref="P25:Q39">
    <cfRule type="containsBlanks" dxfId="18" priority="25">
      <formula>LEN(TRIM(P25))=0</formula>
    </cfRule>
    <cfRule type="expression" dxfId="19" priority="26">
      <formula>AND(#REF!="LAST DROP",$F$47="ΝΑΙ")</formula>
    </cfRule>
    <cfRule type="expression" dxfId="20" priority="27">
      <formula>AND(#REF!="LAST DROP",$F$47&lt;&gt;"ΝΑΙ")</formula>
    </cfRule>
  </conditionalFormatting>
  <conditionalFormatting sqref="R5">
    <cfRule type="containsBlanks" dxfId="15" priority="16">
      <formula>LEN(TRIM(R5))=0</formula>
    </cfRule>
    <cfRule type="expression" dxfId="17" priority="17">
      <formula>AND(#REF!="LAST DROP",$F$47="ΝΑΙ")</formula>
    </cfRule>
    <cfRule type="expression" dxfId="16" priority="18">
      <formula>AND(#REF!="LAST DROP",$F$47&lt;&gt;"ΝΑΙ")</formula>
    </cfRule>
  </conditionalFormatting>
  <conditionalFormatting sqref="V83">
    <cfRule type="containsBlanks" dxfId="12" priority="1">
      <formula>LEN(TRIM(V83))=0</formula>
    </cfRule>
    <cfRule type="expression" dxfId="13" priority="2">
      <formula>AND(#REF!="LAST DROP",$F$47="ΝΑΙ")</formula>
    </cfRule>
    <cfRule type="expression" dxfId="14" priority="3">
      <formula>AND(#REF!="LAST DROP",$F$47&lt;&gt;"ΝΑΙ")</formula>
    </cfRule>
  </conditionalFormatting>
  <conditionalFormatting sqref="V86:V87">
    <cfRule type="containsBlanks" dxfId="10" priority="13">
      <formula>LEN(TRIM(V86))=0</formula>
    </cfRule>
    <cfRule type="expression" dxfId="11" priority="14">
      <formula>AND(#REF!="LAST DROP",$F$47="ΝΑΙ")</formula>
    </cfRule>
    <cfRule type="expression" dxfId="9" priority="15">
      <formula>AND(#REF!="LAST DROP",$F$47&lt;&gt;"ΝΑΙ")</formula>
    </cfRule>
  </conditionalFormatting>
  <conditionalFormatting sqref="V90:V93">
    <cfRule type="containsBlanks" dxfId="6" priority="10">
      <formula>LEN(TRIM(V90))=0</formula>
    </cfRule>
    <cfRule type="expression" dxfId="7" priority="11">
      <formula>AND(#REF!="LAST DROP",$F$47="ΝΑΙ")</formula>
    </cfRule>
    <cfRule type="expression" dxfId="8" priority="12">
      <formula>AND(#REF!="LAST DROP",$F$47&lt;&gt;"ΝΑΙ")</formula>
    </cfRule>
  </conditionalFormatting>
  <conditionalFormatting sqref="V96">
    <cfRule type="containsBlanks" dxfId="3" priority="7">
      <formula>LEN(TRIM(V96))=0</formula>
    </cfRule>
    <cfRule type="expression" dxfId="4" priority="8">
      <formula>AND(#REF!="LAST DROP",$F$47="ΝΑΙ")</formula>
    </cfRule>
    <cfRule type="expression" dxfId="5" priority="9">
      <formula>AND(#REF!="LAST DROP",$F$47&lt;&gt;"ΝΑΙ")</formula>
    </cfRule>
  </conditionalFormatting>
  <conditionalFormatting sqref="V99:V103">
    <cfRule type="containsBlanks" dxfId="0" priority="4">
      <formula>LEN(TRIM(V99))=0</formula>
    </cfRule>
    <cfRule type="expression" dxfId="1" priority="5">
      <formula>AND(#REF!="LAST DROP",$F$47="ΝΑΙ")</formula>
    </cfRule>
    <cfRule type="expression" dxfId="2" priority="6">
      <formula>AND(#REF!="LAST DROP",$F$47&lt;&gt;"ΝΑΙ")</formula>
    </cfRule>
  </conditionalFormatting>
  <dataValidations count="10">
    <dataValidation type="list" allowBlank="1" showInputMessage="1" showErrorMessage="1" sqref="V83" xr:uid="{69AD3839-3763-4FAC-86E7-5F89C3F32A02}">
      <formula1>AC9:AC11</formula1>
    </dataValidation>
    <dataValidation type="list" allowBlank="1" showInputMessage="1" showErrorMessage="1" sqref="D5" xr:uid="{9686C2B7-D864-4E8A-A21F-138EF0F3BE28}">
      <formula1>$U$2:$U$4</formula1>
    </dataValidation>
    <dataValidation type="list" allowBlank="1" showInputMessage="1" showErrorMessage="1" sqref="E13" xr:uid="{56AD2B74-EEBE-4D6B-9EDC-5366FC7BF5FA}">
      <formula1>$V$2:$V$5</formula1>
    </dataValidation>
    <dataValidation type="list" allowBlank="1" showInputMessage="1" showErrorMessage="1" sqref="D18" xr:uid="{782D3EA1-8891-4A9A-99C7-35718DE34CD4}">
      <formula1>$W$1:$W$4</formula1>
    </dataValidation>
    <dataValidation type="list" allowBlank="1" showInputMessage="1" showErrorMessage="1" sqref="E18" xr:uid="{A916F208-B30D-4EDB-8976-43192A55D0D4}">
      <formula1>$X$1:$X$4</formula1>
    </dataValidation>
    <dataValidation type="list" allowBlank="1" showInputMessage="1" showErrorMessage="1" sqref="D22" xr:uid="{CDFBEDE8-A113-4687-BDA6-106FF92194AD}">
      <formula1>$Y$1:$Y$6</formula1>
    </dataValidation>
    <dataValidation type="list" allowBlank="1" showInputMessage="1" showErrorMessage="1" sqref="F18" xr:uid="{25912930-8418-4E7F-A420-17DF58F4FE32}">
      <formula1>$AC$1:$AC$5</formula1>
    </dataValidation>
    <dataValidation type="list" allowBlank="1" showInputMessage="1" showErrorMessage="1" sqref="D13" xr:uid="{8C7CE4C3-8000-4485-A821-25489588932C}">
      <formula1>$Z$1:$Z$3</formula1>
    </dataValidation>
    <dataValidation type="list" allowBlank="1" showInputMessage="1" showErrorMessage="1" sqref="C22" xr:uid="{2F7763A1-4644-48BA-BED4-288215B6C89B}">
      <formula1>$AB$1:$AB$20</formula1>
    </dataValidation>
    <dataValidation type="list" allowBlank="1" showInputMessage="1" showErrorMessage="1" sqref="V99" xr:uid="{1B2E7281-48C8-49EF-9E1B-665637964726}">
      <formula1>$X$2:$X$4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7</vt:i4>
      </vt:variant>
    </vt:vector>
  </HeadingPairs>
  <TitlesOfParts>
    <vt:vector size="7" baseType="lpstr">
      <vt:lpstr>ΚΤΗΡΙΟ</vt:lpstr>
      <vt:lpstr>ΟΡΟΦΟΙ</vt:lpstr>
      <vt:lpstr>OPTICAL PATHS</vt:lpstr>
      <vt:lpstr>ΕΡΓΑΣΙΕΣ</vt:lpstr>
      <vt:lpstr>LABELS BMO</vt:lpstr>
      <vt:lpstr>LABELS BEP </vt:lpstr>
      <vt:lpstr>AS build-Επιμέτρηση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Fouflias</cp:lastModifiedBy>
  <dcterms:modified xsi:type="dcterms:W3CDTF">2026-04-02T09:55:20Z</dcterms:modified>
</cp:coreProperties>
</file>